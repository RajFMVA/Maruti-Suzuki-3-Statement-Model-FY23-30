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FMVA\FMVA\3-Statement Modelling\Projects\Maruti Suzuki India Ltd\"/>
    </mc:Choice>
  </mc:AlternateContent>
  <xr:revisionPtr revIDLastSave="0" documentId="13_ncr:1_{BCB6A2E2-AB51-489D-8A70-B1CE9E1A9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 Model" sheetId="3" r:id="rId1"/>
    <sheet name="Ratios" sheetId="5" r:id="rId2"/>
    <sheet name="Assumptions and Drivers" sheetId="8" r:id="rId3"/>
    <sheet name="Forecasting" sheetId="7" r:id="rId4"/>
    <sheet name="Charts and Graphs" sheetId="9" r:id="rId5"/>
    <sheet name="Model-R" sheetId="4" state="veryHidden" r:id="rId6"/>
  </sheets>
  <externalReferences>
    <externalReference r:id="rId7"/>
    <externalReference r:id="rId8"/>
  </externalReferences>
  <definedNames>
    <definedName name="_xlcn.WorksheetConnection_Introto3StatementModelingModelComplete.xlsxSheet1A8F17" hidden="1">[2]Sheet1!$B$8:$E$16</definedName>
    <definedName name="_xlnm.Print_Area" localSheetId="0">'Historic Model'!$B$2:$G$30,'Historic Model'!$I$2:$M$60,'Historic Model'!$O$2:$U$59</definedName>
    <definedName name="_xlnm.Print_Area" localSheetId="5">'Model-R'!$B$3:$H$32,'Model-R'!$B$35:$H$66,'Model-R'!$B$69:$H$100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[Intro to 3-Statement Modeling Model (Complete).xlsx]Sheet1!$A$8:$F$17"/>
        </x15:modelTables>
      </x15:dataModel>
    </ext>
  </extLst>
</workbook>
</file>

<file path=xl/calcChain.xml><?xml version="1.0" encoding="utf-8"?>
<calcChain xmlns="http://schemas.openxmlformats.org/spreadsheetml/2006/main">
  <c r="D7" i="9" l="1"/>
  <c r="E7" i="9"/>
  <c r="C7" i="9"/>
  <c r="F35" i="7"/>
  <c r="G35" i="7"/>
  <c r="H35" i="7" s="1"/>
  <c r="I35" i="7" s="1"/>
  <c r="J35" i="7" s="1"/>
  <c r="G31" i="7"/>
  <c r="H31" i="7"/>
  <c r="I31" i="7"/>
  <c r="W11" i="7" s="1"/>
  <c r="J31" i="7"/>
  <c r="X11" i="7" s="1"/>
  <c r="F31" i="7"/>
  <c r="F30" i="8"/>
  <c r="G30" i="8"/>
  <c r="I30" i="8"/>
  <c r="H30" i="8"/>
  <c r="J30" i="8"/>
  <c r="U11" i="7"/>
  <c r="V11" i="7"/>
  <c r="Q11" i="7"/>
  <c r="G43" i="7"/>
  <c r="F43" i="7"/>
  <c r="F50" i="7"/>
  <c r="G50" i="7" s="1"/>
  <c r="H50" i="7" s="1"/>
  <c r="I50" i="7" s="1"/>
  <c r="J50" i="7" s="1"/>
  <c r="D31" i="7"/>
  <c r="R11" i="7" s="1"/>
  <c r="E31" i="7"/>
  <c r="S11" i="7" s="1"/>
  <c r="C31" i="7"/>
  <c r="E86" i="7"/>
  <c r="D87" i="7" s="1"/>
  <c r="F86" i="7"/>
  <c r="D86" i="7"/>
  <c r="C87" i="7" s="1"/>
  <c r="D88" i="7"/>
  <c r="E88" i="7"/>
  <c r="C88" i="7"/>
  <c r="C83" i="7"/>
  <c r="C149" i="7" s="1"/>
  <c r="C81" i="7" s="1"/>
  <c r="D82" i="7"/>
  <c r="H81" i="7"/>
  <c r="I81" i="7"/>
  <c r="D77" i="7"/>
  <c r="E77" i="7"/>
  <c r="C77" i="7"/>
  <c r="C78" i="7" s="1"/>
  <c r="C16" i="9" s="1"/>
  <c r="C73" i="7"/>
  <c r="C72" i="7"/>
  <c r="C71" i="7"/>
  <c r="C70" i="7"/>
  <c r="D68" i="7"/>
  <c r="E68" i="7"/>
  <c r="C68" i="7"/>
  <c r="C159" i="7"/>
  <c r="D156" i="7" s="1"/>
  <c r="D56" i="7"/>
  <c r="D57" i="7" s="1"/>
  <c r="E56" i="7"/>
  <c r="F56" i="7" s="1"/>
  <c r="E57" i="7"/>
  <c r="C56" i="7"/>
  <c r="C57" i="7"/>
  <c r="R55" i="3"/>
  <c r="R48" i="3"/>
  <c r="D150" i="7"/>
  <c r="E150" i="7"/>
  <c r="F150" i="7"/>
  <c r="G150" i="7"/>
  <c r="H150" i="7"/>
  <c r="I150" i="7"/>
  <c r="J148" i="7" s="1"/>
  <c r="J150" i="7"/>
  <c r="E148" i="7"/>
  <c r="E149" i="7" s="1"/>
  <c r="E81" i="7" s="1"/>
  <c r="C150" i="7"/>
  <c r="D148" i="7" s="1"/>
  <c r="C153" i="7"/>
  <c r="C158" i="7" s="1"/>
  <c r="C82" i="7" s="1"/>
  <c r="D144" i="7"/>
  <c r="E144" i="7"/>
  <c r="C144" i="7"/>
  <c r="C145" i="7" s="1"/>
  <c r="F142" i="7"/>
  <c r="G142" i="7"/>
  <c r="H142" i="7"/>
  <c r="I142" i="7"/>
  <c r="J142" i="7"/>
  <c r="I140" i="7"/>
  <c r="J138" i="7" s="1"/>
  <c r="J140" i="7"/>
  <c r="F24" i="8"/>
  <c r="D23" i="7"/>
  <c r="D153" i="7" s="1"/>
  <c r="D158" i="7" s="1"/>
  <c r="E23" i="7"/>
  <c r="E153" i="7" s="1"/>
  <c r="E158" i="7" s="1"/>
  <c r="E82" i="7" s="1"/>
  <c r="C23" i="7"/>
  <c r="D25" i="8"/>
  <c r="E25" i="8"/>
  <c r="C25" i="8"/>
  <c r="D26" i="8"/>
  <c r="E26" i="8"/>
  <c r="C26" i="8"/>
  <c r="D54" i="7"/>
  <c r="E54" i="7"/>
  <c r="F54" i="7"/>
  <c r="G54" i="7"/>
  <c r="H54" i="7"/>
  <c r="I54" i="7"/>
  <c r="J54" i="7"/>
  <c r="C54" i="7"/>
  <c r="G24" i="8"/>
  <c r="H24" i="8"/>
  <c r="I24" i="8" s="1"/>
  <c r="J24" i="8" s="1"/>
  <c r="D24" i="8"/>
  <c r="E24" i="8"/>
  <c r="C24" i="8"/>
  <c r="G49" i="7"/>
  <c r="G140" i="7" s="1"/>
  <c r="H49" i="7"/>
  <c r="H140" i="7" s="1"/>
  <c r="I49" i="7"/>
  <c r="J49" i="7"/>
  <c r="F49" i="7"/>
  <c r="F140" i="7" s="1"/>
  <c r="I148" i="7"/>
  <c r="I149" i="7" s="1"/>
  <c r="H148" i="7"/>
  <c r="H149" i="7" s="1"/>
  <c r="G148" i="7"/>
  <c r="G149" i="7" s="1"/>
  <c r="G81" i="7" s="1"/>
  <c r="F148" i="7"/>
  <c r="E145" i="7"/>
  <c r="D145" i="7"/>
  <c r="G121" i="7"/>
  <c r="H121" i="7"/>
  <c r="I121" i="7"/>
  <c r="J121" i="7"/>
  <c r="F121" i="7"/>
  <c r="D126" i="7"/>
  <c r="E126" i="7"/>
  <c r="C126" i="7"/>
  <c r="G13" i="8"/>
  <c r="H13" i="8"/>
  <c r="I13" i="8"/>
  <c r="J13" i="8" s="1"/>
  <c r="J122" i="7" s="1"/>
  <c r="F13" i="8"/>
  <c r="G122" i="7"/>
  <c r="I122" i="7"/>
  <c r="D122" i="7"/>
  <c r="E122" i="7"/>
  <c r="F122" i="7"/>
  <c r="H122" i="7"/>
  <c r="C122" i="7"/>
  <c r="C84" i="7" l="1"/>
  <c r="C17" i="9" s="1"/>
  <c r="D159" i="7"/>
  <c r="E156" i="7" s="1"/>
  <c r="E159" i="7" s="1"/>
  <c r="F156" i="7" s="1"/>
  <c r="J141" i="7"/>
  <c r="J144" i="7" s="1"/>
  <c r="J17" i="7" s="1"/>
  <c r="J139" i="7"/>
  <c r="J83" i="7" s="1"/>
  <c r="F149" i="7"/>
  <c r="F81" i="7" s="1"/>
  <c r="J149" i="7"/>
  <c r="J81" i="7" s="1"/>
  <c r="I138" i="7"/>
  <c r="I139" i="7" s="1"/>
  <c r="I83" i="7" s="1"/>
  <c r="H138" i="7"/>
  <c r="H139" i="7" s="1"/>
  <c r="H83" i="7" s="1"/>
  <c r="G138" i="7"/>
  <c r="G139" i="7" s="1"/>
  <c r="G83" i="7" s="1"/>
  <c r="I141" i="7"/>
  <c r="I144" i="7" s="1"/>
  <c r="I17" i="7" s="1"/>
  <c r="D149" i="7"/>
  <c r="D81" i="7" s="1"/>
  <c r="C148" i="7"/>
  <c r="G141" i="7" l="1"/>
  <c r="G144" i="7" s="1"/>
  <c r="G17" i="7" s="1"/>
  <c r="H141" i="7"/>
  <c r="H144" i="7" s="1"/>
  <c r="H17" i="7" s="1"/>
  <c r="C117" i="7" l="1"/>
  <c r="C116" i="7"/>
  <c r="D46" i="7"/>
  <c r="E46" i="7"/>
  <c r="C46" i="7"/>
  <c r="D44" i="7"/>
  <c r="D110" i="7" s="1"/>
  <c r="E44" i="7"/>
  <c r="C44" i="7"/>
  <c r="C110" i="7" s="1"/>
  <c r="C115" i="7"/>
  <c r="D35" i="7"/>
  <c r="E35" i="7"/>
  <c r="C35" i="7"/>
  <c r="D32" i="7"/>
  <c r="E32" i="7"/>
  <c r="E108" i="7" s="1"/>
  <c r="C32" i="7"/>
  <c r="C108" i="7" s="1"/>
  <c r="C114" i="7"/>
  <c r="C118" i="7" s="1"/>
  <c r="D105" i="7"/>
  <c r="E105" i="7"/>
  <c r="F105" i="7"/>
  <c r="G105" i="7"/>
  <c r="H105" i="7"/>
  <c r="I105" i="7"/>
  <c r="J105" i="7"/>
  <c r="C105" i="7"/>
  <c r="D104" i="7"/>
  <c r="E104" i="7"/>
  <c r="F104" i="7"/>
  <c r="G104" i="7"/>
  <c r="H104" i="7"/>
  <c r="I104" i="7"/>
  <c r="J104" i="7"/>
  <c r="C104" i="7"/>
  <c r="D103" i="7"/>
  <c r="E103" i="7"/>
  <c r="F103" i="7"/>
  <c r="G103" i="7"/>
  <c r="H103" i="7"/>
  <c r="I103" i="7"/>
  <c r="J103" i="7"/>
  <c r="C103" i="7"/>
  <c r="D102" i="7"/>
  <c r="E102" i="7"/>
  <c r="F102" i="7"/>
  <c r="G102" i="7"/>
  <c r="H102" i="7"/>
  <c r="I102" i="7"/>
  <c r="J102" i="7"/>
  <c r="C102" i="7"/>
  <c r="E78" i="7"/>
  <c r="E16" i="9" s="1"/>
  <c r="D78" i="7"/>
  <c r="D16" i="9" s="1"/>
  <c r="D22" i="8"/>
  <c r="E22" i="8"/>
  <c r="C22" i="8"/>
  <c r="D21" i="8"/>
  <c r="E21" i="8"/>
  <c r="C21" i="8"/>
  <c r="D20" i="8"/>
  <c r="E20" i="8"/>
  <c r="C20" i="8"/>
  <c r="D19" i="8"/>
  <c r="E19" i="8"/>
  <c r="C19" i="8"/>
  <c r="D50" i="7"/>
  <c r="E50" i="7"/>
  <c r="C50" i="7"/>
  <c r="D49" i="7"/>
  <c r="E49" i="7"/>
  <c r="C49" i="7"/>
  <c r="D45" i="7"/>
  <c r="D111" i="7" s="1"/>
  <c r="E45" i="7"/>
  <c r="E111" i="7" s="1"/>
  <c r="C45" i="7"/>
  <c r="C111" i="7" s="1"/>
  <c r="E110" i="7"/>
  <c r="D43" i="7"/>
  <c r="E43" i="7"/>
  <c r="E47" i="7" s="1"/>
  <c r="C43" i="7"/>
  <c r="D39" i="7"/>
  <c r="E39" i="7"/>
  <c r="C39" i="7"/>
  <c r="D38" i="7"/>
  <c r="D128" i="7" s="1"/>
  <c r="E125" i="7" s="1"/>
  <c r="E38" i="7"/>
  <c r="E128" i="7" s="1"/>
  <c r="F125" i="7" s="1"/>
  <c r="C38" i="7"/>
  <c r="C128" i="7" s="1"/>
  <c r="D108" i="7"/>
  <c r="D33" i="7"/>
  <c r="D109" i="7" s="1"/>
  <c r="E33" i="7"/>
  <c r="E109" i="7" s="1"/>
  <c r="D34" i="7"/>
  <c r="E34" i="7"/>
  <c r="C34" i="7"/>
  <c r="C33" i="7"/>
  <c r="C109" i="7" s="1"/>
  <c r="D116" i="7" l="1"/>
  <c r="D72" i="7" s="1"/>
  <c r="D140" i="7"/>
  <c r="D23" i="8"/>
  <c r="E140" i="7"/>
  <c r="E23" i="8"/>
  <c r="D117" i="7"/>
  <c r="D73" i="7" s="1"/>
  <c r="C23" i="8"/>
  <c r="C140" i="7"/>
  <c r="E116" i="7"/>
  <c r="E72" i="7" s="1"/>
  <c r="C36" i="7"/>
  <c r="C40" i="7" s="1"/>
  <c r="E115" i="7"/>
  <c r="E71" i="7" s="1"/>
  <c r="D125" i="7"/>
  <c r="D47" i="7"/>
  <c r="D51" i="7" s="1"/>
  <c r="D59" i="7" s="1"/>
  <c r="E117" i="7"/>
  <c r="E73" i="7" s="1"/>
  <c r="E36" i="7"/>
  <c r="E40" i="7" s="1"/>
  <c r="E60" i="7" s="1"/>
  <c r="D36" i="7"/>
  <c r="D40" i="7" s="1"/>
  <c r="D60" i="7" s="1"/>
  <c r="E114" i="7"/>
  <c r="D115" i="7"/>
  <c r="D71" i="7" s="1"/>
  <c r="C47" i="7"/>
  <c r="C51" i="7" s="1"/>
  <c r="C59" i="7" s="1"/>
  <c r="C60" i="7" s="1"/>
  <c r="D114" i="7"/>
  <c r="D70" i="7" s="1"/>
  <c r="E51" i="7"/>
  <c r="E59" i="7" s="1"/>
  <c r="E118" i="7" l="1"/>
  <c r="E70" i="7"/>
  <c r="D138" i="7"/>
  <c r="D141" i="7" s="1"/>
  <c r="D14" i="8" s="1"/>
  <c r="D142" i="7" s="1"/>
  <c r="C138" i="7"/>
  <c r="C141" i="7"/>
  <c r="C14" i="8" s="1"/>
  <c r="C142" i="7" s="1"/>
  <c r="D118" i="7"/>
  <c r="F138" i="7"/>
  <c r="E138" i="7"/>
  <c r="E141" i="7" s="1"/>
  <c r="E14" i="8" s="1"/>
  <c r="E142" i="7" s="1"/>
  <c r="E139" i="7" l="1"/>
  <c r="E83" i="7" s="1"/>
  <c r="E84" i="7" s="1"/>
  <c r="E17" i="9" s="1"/>
  <c r="D139" i="7"/>
  <c r="D83" i="7" s="1"/>
  <c r="D84" i="7" s="1"/>
  <c r="D17" i="9" s="1"/>
  <c r="F139" i="7"/>
  <c r="F83" i="7" s="1"/>
  <c r="F141" i="7"/>
  <c r="F144" i="7" s="1"/>
  <c r="F17" i="7" s="1"/>
  <c r="D12" i="8" l="1"/>
  <c r="E12" i="8"/>
  <c r="D13" i="8"/>
  <c r="E13" i="8"/>
  <c r="C12" i="8"/>
  <c r="D15" i="8"/>
  <c r="E15" i="8"/>
  <c r="C15" i="8"/>
  <c r="C13" i="8"/>
  <c r="D11" i="8"/>
  <c r="E11" i="8"/>
  <c r="C11" i="8"/>
  <c r="D10" i="8"/>
  <c r="E10" i="8"/>
  <c r="C10" i="8"/>
  <c r="E9" i="8" l="1"/>
  <c r="D9" i="8"/>
  <c r="D20" i="7"/>
  <c r="D100" i="7" s="1"/>
  <c r="E20" i="7"/>
  <c r="E100" i="7" s="1"/>
  <c r="C20" i="7"/>
  <c r="C100" i="7" s="1"/>
  <c r="D7" i="7"/>
  <c r="D99" i="7" s="1"/>
  <c r="E7" i="7"/>
  <c r="E99" i="7" s="1"/>
  <c r="D6" i="7"/>
  <c r="E6" i="7"/>
  <c r="E18" i="8" s="1"/>
  <c r="E121" i="7" s="1"/>
  <c r="D17" i="7"/>
  <c r="E17" i="7"/>
  <c r="C17" i="7"/>
  <c r="D14" i="7"/>
  <c r="D127" i="7" s="1"/>
  <c r="E14" i="7"/>
  <c r="E127" i="7" s="1"/>
  <c r="C14" i="7"/>
  <c r="C127" i="7" s="1"/>
  <c r="C125" i="7" s="1"/>
  <c r="D10" i="7"/>
  <c r="E10" i="7"/>
  <c r="C10" i="7"/>
  <c r="C7" i="7"/>
  <c r="C99" i="7" s="1"/>
  <c r="C6" i="7"/>
  <c r="C18" i="8" s="1"/>
  <c r="C121" i="7" s="1"/>
  <c r="D98" i="7" l="1"/>
  <c r="D120" i="7" s="1"/>
  <c r="D18" i="8"/>
  <c r="D121" i="7" s="1"/>
  <c r="F6" i="7"/>
  <c r="E98" i="7"/>
  <c r="E120" i="7" s="1"/>
  <c r="C8" i="7"/>
  <c r="C11" i="7" s="1"/>
  <c r="C8" i="9" s="1"/>
  <c r="C9" i="9" s="1"/>
  <c r="C98" i="7"/>
  <c r="C120" i="7" s="1"/>
  <c r="D8" i="7"/>
  <c r="D11" i="7" s="1"/>
  <c r="C15" i="7"/>
  <c r="C18" i="7" s="1"/>
  <c r="C21" i="7" s="1"/>
  <c r="E8" i="7"/>
  <c r="E11" i="7" s="1"/>
  <c r="C64" i="5"/>
  <c r="D64" i="5"/>
  <c r="B64" i="5"/>
  <c r="C61" i="5"/>
  <c r="D61" i="5"/>
  <c r="B61" i="5"/>
  <c r="C60" i="5"/>
  <c r="D60" i="5"/>
  <c r="B60" i="5"/>
  <c r="C59" i="5"/>
  <c r="D59" i="5"/>
  <c r="B59" i="5"/>
  <c r="B54" i="5"/>
  <c r="C53" i="5"/>
  <c r="D53" i="5"/>
  <c r="B53" i="5"/>
  <c r="C52" i="5"/>
  <c r="D52" i="5"/>
  <c r="B52" i="5"/>
  <c r="C51" i="5"/>
  <c r="C54" i="5" s="1"/>
  <c r="D51" i="5"/>
  <c r="D54" i="5" s="1"/>
  <c r="B51" i="5"/>
  <c r="D15" i="7" l="1"/>
  <c r="D18" i="7" s="1"/>
  <c r="D21" i="7" s="1"/>
  <c r="D8" i="9"/>
  <c r="D9" i="9" s="1"/>
  <c r="C11" i="9"/>
  <c r="C12" i="9" s="1"/>
  <c r="C67" i="7"/>
  <c r="C74" i="7" s="1"/>
  <c r="C15" i="9" s="1"/>
  <c r="C18" i="9" s="1"/>
  <c r="F7" i="7"/>
  <c r="F8" i="7" s="1"/>
  <c r="F7" i="9"/>
  <c r="F46" i="7"/>
  <c r="F34" i="7"/>
  <c r="F39" i="7"/>
  <c r="E15" i="7"/>
  <c r="E18" i="7" s="1"/>
  <c r="E21" i="7" s="1"/>
  <c r="E8" i="9"/>
  <c r="E9" i="9" s="1"/>
  <c r="D152" i="7"/>
  <c r="D27" i="8"/>
  <c r="C152" i="7"/>
  <c r="C157" i="7" s="1"/>
  <c r="C156" i="7" s="1"/>
  <c r="C27" i="8"/>
  <c r="E27" i="8"/>
  <c r="G6" i="7"/>
  <c r="F11" i="8"/>
  <c r="F10" i="7" s="1"/>
  <c r="F98" i="7"/>
  <c r="F120" i="7" s="1"/>
  <c r="F128" i="7" s="1"/>
  <c r="F38" i="7" s="1"/>
  <c r="F32" i="7"/>
  <c r="C45" i="5"/>
  <c r="D45" i="5"/>
  <c r="B45" i="5"/>
  <c r="C44" i="5"/>
  <c r="D44" i="5"/>
  <c r="B44" i="5"/>
  <c r="C43" i="5"/>
  <c r="D43" i="5"/>
  <c r="B43" i="5"/>
  <c r="D38" i="5"/>
  <c r="C38" i="5"/>
  <c r="B38" i="5"/>
  <c r="D37" i="5"/>
  <c r="B37" i="5"/>
  <c r="C37" i="5"/>
  <c r="D36" i="5"/>
  <c r="C36" i="5"/>
  <c r="B36" i="5"/>
  <c r="C35" i="5"/>
  <c r="D35" i="5"/>
  <c r="B35" i="5"/>
  <c r="C34" i="5"/>
  <c r="D34" i="5"/>
  <c r="B34" i="5"/>
  <c r="C28" i="5"/>
  <c r="D28" i="5"/>
  <c r="B28" i="5"/>
  <c r="C27" i="5"/>
  <c r="D27" i="5"/>
  <c r="B27" i="5"/>
  <c r="B25" i="5"/>
  <c r="C25" i="5"/>
  <c r="D25" i="5"/>
  <c r="B26" i="5"/>
  <c r="C26" i="5"/>
  <c r="D26" i="5"/>
  <c r="C24" i="5"/>
  <c r="D24" i="5"/>
  <c r="B24" i="5"/>
  <c r="C23" i="5"/>
  <c r="D23" i="5"/>
  <c r="B23" i="5"/>
  <c r="C22" i="5"/>
  <c r="D22" i="5"/>
  <c r="B22" i="5"/>
  <c r="C21" i="5"/>
  <c r="D21" i="5"/>
  <c r="B21" i="5"/>
  <c r="C15" i="5"/>
  <c r="C16" i="5" s="1"/>
  <c r="D15" i="5"/>
  <c r="D16" i="5" s="1"/>
  <c r="B15" i="5"/>
  <c r="C14" i="5"/>
  <c r="D14" i="5"/>
  <c r="B14" i="5"/>
  <c r="C13" i="5"/>
  <c r="D13" i="5"/>
  <c r="B13" i="5"/>
  <c r="C12" i="5"/>
  <c r="D12" i="5"/>
  <c r="B12" i="5"/>
  <c r="C11" i="5"/>
  <c r="D11" i="5"/>
  <c r="B11" i="5"/>
  <c r="C6" i="5"/>
  <c r="D6" i="5"/>
  <c r="B6" i="5"/>
  <c r="E11" i="9" l="1"/>
  <c r="E12" i="9" s="1"/>
  <c r="E67" i="7"/>
  <c r="E74" i="7" s="1"/>
  <c r="F99" i="7"/>
  <c r="F33" i="7" s="1"/>
  <c r="G7" i="7"/>
  <c r="G8" i="7" s="1"/>
  <c r="G39" i="7"/>
  <c r="G7" i="9"/>
  <c r="G46" i="7"/>
  <c r="G34" i="7"/>
  <c r="E152" i="7"/>
  <c r="D11" i="9"/>
  <c r="D12" i="9" s="1"/>
  <c r="D67" i="7"/>
  <c r="D74" i="7" s="1"/>
  <c r="D15" i="9" s="1"/>
  <c r="D18" i="9" s="1"/>
  <c r="G11" i="8"/>
  <c r="G10" i="7" s="1"/>
  <c r="G32" i="7"/>
  <c r="G108" i="7" s="1"/>
  <c r="G98" i="7"/>
  <c r="G120" i="7" s="1"/>
  <c r="G128" i="7" s="1"/>
  <c r="G38" i="7" s="1"/>
  <c r="G125" i="7"/>
  <c r="H6" i="7"/>
  <c r="F127" i="7"/>
  <c r="F108" i="7"/>
  <c r="F44" i="7"/>
  <c r="E43" i="5"/>
  <c r="E37" i="5"/>
  <c r="E12" i="5"/>
  <c r="E38" i="5"/>
  <c r="B16" i="5"/>
  <c r="E16" i="5" s="1"/>
  <c r="E15" i="5"/>
  <c r="E28" i="5"/>
  <c r="E45" i="5"/>
  <c r="E23" i="5"/>
  <c r="E26" i="5"/>
  <c r="E36" i="5"/>
  <c r="E6" i="5"/>
  <c r="E13" i="5"/>
  <c r="E21" i="5"/>
  <c r="E34" i="5"/>
  <c r="E11" i="5"/>
  <c r="E24" i="5"/>
  <c r="E25" i="5"/>
  <c r="E44" i="5"/>
  <c r="E14" i="5"/>
  <c r="E27" i="5"/>
  <c r="E22" i="5"/>
  <c r="E35" i="5"/>
  <c r="C29" i="5"/>
  <c r="D29" i="5"/>
  <c r="B29" i="5"/>
  <c r="H125" i="7" l="1"/>
  <c r="G36" i="7"/>
  <c r="G40" i="7" s="1"/>
  <c r="G99" i="7"/>
  <c r="G44" i="7" s="1"/>
  <c r="I6" i="7"/>
  <c r="H34" i="7"/>
  <c r="H39" i="7"/>
  <c r="H7" i="9"/>
  <c r="H46" i="7"/>
  <c r="E15" i="9"/>
  <c r="E18" i="9" s="1"/>
  <c r="E87" i="7"/>
  <c r="H11" i="8"/>
  <c r="H10" i="7" s="1"/>
  <c r="H32" i="7"/>
  <c r="I11" i="8"/>
  <c r="I10" i="7" s="1"/>
  <c r="F126" i="7"/>
  <c r="F77" i="7" s="1"/>
  <c r="F14" i="7"/>
  <c r="F68" i="7" s="1"/>
  <c r="J6" i="7"/>
  <c r="I7" i="7"/>
  <c r="I99" i="7" s="1"/>
  <c r="G127" i="7"/>
  <c r="H7" i="7"/>
  <c r="H8" i="7" s="1"/>
  <c r="H98" i="7"/>
  <c r="H120" i="7" s="1"/>
  <c r="G114" i="7"/>
  <c r="G70" i="7" s="1"/>
  <c r="F114" i="7"/>
  <c r="F70" i="7" s="1"/>
  <c r="J11" i="8"/>
  <c r="J10" i="7" s="1"/>
  <c r="J98" i="7"/>
  <c r="J120" i="7" s="1"/>
  <c r="J128" i="7" s="1"/>
  <c r="J38" i="7" s="1"/>
  <c r="G33" i="7"/>
  <c r="G110" i="7"/>
  <c r="F110" i="7"/>
  <c r="H99" i="7"/>
  <c r="E29" i="5"/>
  <c r="J32" i="7" l="1"/>
  <c r="J34" i="7"/>
  <c r="J39" i="7"/>
  <c r="J7" i="9"/>
  <c r="J46" i="7"/>
  <c r="H36" i="7"/>
  <c r="H40" i="7" s="1"/>
  <c r="I8" i="7"/>
  <c r="J7" i="7"/>
  <c r="I98" i="7"/>
  <c r="I120" i="7" s="1"/>
  <c r="I34" i="7"/>
  <c r="I39" i="7"/>
  <c r="I7" i="9"/>
  <c r="I46" i="7"/>
  <c r="H108" i="7"/>
  <c r="I32" i="7"/>
  <c r="G126" i="7"/>
  <c r="G77" i="7" s="1"/>
  <c r="G14" i="7"/>
  <c r="G68" i="7" s="1"/>
  <c r="G116" i="7"/>
  <c r="G72" i="7" s="1"/>
  <c r="H127" i="7"/>
  <c r="H14" i="7" s="1"/>
  <c r="H68" i="7" s="1"/>
  <c r="H128" i="7"/>
  <c r="H38" i="7" s="1"/>
  <c r="F116" i="7"/>
  <c r="F72" i="7" s="1"/>
  <c r="H114" i="7"/>
  <c r="H70" i="7" s="1"/>
  <c r="G109" i="7"/>
  <c r="J8" i="7"/>
  <c r="J99" i="7"/>
  <c r="J108" i="7"/>
  <c r="J127" i="7"/>
  <c r="J14" i="7" s="1"/>
  <c r="J68" i="7" s="1"/>
  <c r="H33" i="7"/>
  <c r="H44" i="7"/>
  <c r="H110" i="7"/>
  <c r="I33" i="7"/>
  <c r="I44" i="7"/>
  <c r="I110" i="7"/>
  <c r="G31" i="3"/>
  <c r="F31" i="3"/>
  <c r="E31" i="3"/>
  <c r="I36" i="7" l="1"/>
  <c r="I108" i="7"/>
  <c r="I114" i="7" s="1"/>
  <c r="I70" i="7" s="1"/>
  <c r="I128" i="7"/>
  <c r="I38" i="7" s="1"/>
  <c r="I127" i="7"/>
  <c r="I14" i="7" s="1"/>
  <c r="I68" i="7" s="1"/>
  <c r="H116" i="7"/>
  <c r="H72" i="7" s="1"/>
  <c r="H126" i="7"/>
  <c r="H77" i="7" s="1"/>
  <c r="I125" i="7"/>
  <c r="I116" i="7"/>
  <c r="I72" i="7" s="1"/>
  <c r="I109" i="7"/>
  <c r="J33" i="7"/>
  <c r="J36" i="7" s="1"/>
  <c r="J40" i="7" s="1"/>
  <c r="J44" i="7"/>
  <c r="J110" i="7"/>
  <c r="H109" i="7"/>
  <c r="S58" i="3"/>
  <c r="T55" i="3"/>
  <c r="T53" i="3"/>
  <c r="U53" i="3"/>
  <c r="U55" i="3" s="1"/>
  <c r="S53" i="3"/>
  <c r="S55" i="3" s="1"/>
  <c r="T48" i="3"/>
  <c r="U48" i="3"/>
  <c r="U45" i="3"/>
  <c r="T45" i="3"/>
  <c r="S45" i="3"/>
  <c r="S48" i="3" s="1"/>
  <c r="S38" i="3"/>
  <c r="T38" i="3"/>
  <c r="U38" i="3"/>
  <c r="S27" i="3"/>
  <c r="T27" i="3"/>
  <c r="U27" i="3"/>
  <c r="R27" i="3"/>
  <c r="R28" i="3" s="1"/>
  <c r="R53" i="3"/>
  <c r="K53" i="3"/>
  <c r="K58" i="3" s="1"/>
  <c r="L53" i="3"/>
  <c r="L58" i="3" s="1"/>
  <c r="M53" i="3"/>
  <c r="M58" i="3" s="1"/>
  <c r="L47" i="3"/>
  <c r="M47" i="3"/>
  <c r="K47" i="3"/>
  <c r="K36" i="3"/>
  <c r="L36" i="3"/>
  <c r="M36" i="3"/>
  <c r="K17" i="3"/>
  <c r="K19" i="3" s="1"/>
  <c r="K21" i="3" s="1"/>
  <c r="M17" i="3"/>
  <c r="M19" i="3" s="1"/>
  <c r="M21" i="3" s="1"/>
  <c r="L17" i="3"/>
  <c r="L19" i="3" s="1"/>
  <c r="L21" i="3" s="1"/>
  <c r="J114" i="7" l="1"/>
  <c r="J70" i="7" s="1"/>
  <c r="I40" i="7"/>
  <c r="J116" i="7"/>
  <c r="J72" i="7" s="1"/>
  <c r="J125" i="7"/>
  <c r="J126" i="7" s="1"/>
  <c r="J77" i="7" s="1"/>
  <c r="I126" i="7"/>
  <c r="I77" i="7" s="1"/>
  <c r="I115" i="7"/>
  <c r="I71" i="7" s="1"/>
  <c r="H115" i="7"/>
  <c r="H71" i="7" s="1"/>
  <c r="J109" i="7"/>
  <c r="J115" i="7" s="1"/>
  <c r="J71" i="7" s="1"/>
  <c r="R58" i="3"/>
  <c r="F26" i="3" l="1"/>
  <c r="G26" i="3"/>
  <c r="E26" i="3"/>
  <c r="F9" i="3"/>
  <c r="F13" i="3" s="1"/>
  <c r="G9" i="3"/>
  <c r="G13" i="3" s="1"/>
  <c r="G17" i="3" s="1"/>
  <c r="E9" i="3"/>
  <c r="E13" i="3" s="1"/>
  <c r="E17" i="3" s="1"/>
  <c r="E21" i="3" s="1"/>
  <c r="E94" i="4"/>
  <c r="F92" i="4"/>
  <c r="F86" i="4"/>
  <c r="F85" i="4"/>
  <c r="F84" i="4"/>
  <c r="F83" i="4"/>
  <c r="F76" i="4"/>
  <c r="F75" i="4"/>
  <c r="E87" i="4"/>
  <c r="E78" i="4"/>
  <c r="F51" i="4"/>
  <c r="F28" i="4"/>
  <c r="F10" i="4"/>
  <c r="G28" i="4"/>
  <c r="H28" i="4"/>
  <c r="G10" i="4"/>
  <c r="H10" i="4"/>
  <c r="E29" i="3" l="1"/>
  <c r="F17" i="3"/>
  <c r="F21" i="3" s="1"/>
  <c r="F29" i="3" s="1"/>
  <c r="G19" i="4"/>
  <c r="H23" i="4"/>
  <c r="G21" i="3"/>
  <c r="G29" i="3" s="1"/>
  <c r="H15" i="4"/>
  <c r="G15" i="4"/>
  <c r="H19" i="4"/>
  <c r="F63" i="4"/>
  <c r="G59" i="4"/>
  <c r="H59" i="4"/>
  <c r="F59" i="4"/>
  <c r="G51" i="4"/>
  <c r="H51" i="4"/>
  <c r="J42" i="4"/>
  <c r="G41" i="4"/>
  <c r="H41" i="4"/>
  <c r="G42" i="4"/>
  <c r="H42" i="4"/>
  <c r="F42" i="4"/>
  <c r="F41" i="4"/>
  <c r="F15" i="4"/>
  <c r="C5" i="5" l="1"/>
  <c r="C4" i="5"/>
  <c r="D5" i="5"/>
  <c r="D4" i="5"/>
  <c r="B5" i="5"/>
  <c r="E5" i="5" s="1"/>
  <c r="B4" i="5"/>
  <c r="E4" i="5" s="1"/>
  <c r="K59" i="3"/>
  <c r="S8" i="3" s="1"/>
  <c r="S13" i="3" s="1"/>
  <c r="S28" i="3" s="1"/>
  <c r="K42" i="4"/>
  <c r="L42" i="4" s="1" a="1"/>
  <c r="L42" i="4" s="1"/>
  <c r="F19" i="4"/>
  <c r="K19" i="4" s="1"/>
  <c r="K51" i="4"/>
  <c r="H46" i="4"/>
  <c r="H40" i="4"/>
  <c r="K15" i="4"/>
  <c r="K59" i="4"/>
  <c r="K41" i="4"/>
  <c r="G23" i="4"/>
  <c r="J15" i="4"/>
  <c r="J10" i="4"/>
  <c r="K28" i="4"/>
  <c r="K10" i="4"/>
  <c r="F71" i="4"/>
  <c r="E71" i="4" s="1"/>
  <c r="F37" i="4"/>
  <c r="G5" i="4"/>
  <c r="G37" i="4" s="1"/>
  <c r="G85" i="4"/>
  <c r="G84" i="4"/>
  <c r="G76" i="4"/>
  <c r="G86" i="4"/>
  <c r="F77" i="4"/>
  <c r="S4" i="3"/>
  <c r="R4" i="3" s="1"/>
  <c r="K4" i="3"/>
  <c r="F4" i="3"/>
  <c r="T4" i="3" s="1"/>
  <c r="L57" i="3" l="1"/>
  <c r="L59" i="3" s="1"/>
  <c r="H64" i="4"/>
  <c r="G83" i="4"/>
  <c r="F87" i="4"/>
  <c r="E96" i="4"/>
  <c r="G92" i="4"/>
  <c r="G75" i="4"/>
  <c r="G77" i="4"/>
  <c r="J41" i="4"/>
  <c r="L41" i="4" s="1" a="1"/>
  <c r="L41" i="4" s="1"/>
  <c r="J59" i="4"/>
  <c r="L59" i="4" s="1" a="1"/>
  <c r="L59" i="4" s="1"/>
  <c r="J51" i="4"/>
  <c r="L51" i="4" s="1" a="1"/>
  <c r="L51" i="4" s="1"/>
  <c r="H86" i="4"/>
  <c r="K86" i="4" s="1"/>
  <c r="G40" i="4"/>
  <c r="L15" i="4" a="1"/>
  <c r="L15" i="4" s="1"/>
  <c r="L10" i="4" a="1"/>
  <c r="L10" i="4" s="1"/>
  <c r="G31" i="4"/>
  <c r="H31" i="4"/>
  <c r="J28" i="4"/>
  <c r="H5" i="4"/>
  <c r="H37" i="4" s="1"/>
  <c r="G71" i="4"/>
  <c r="G4" i="3"/>
  <c r="L4" i="3"/>
  <c r="T8" i="3" l="1"/>
  <c r="T13" i="3" s="1"/>
  <c r="T28" i="3" s="1"/>
  <c r="M57" i="3"/>
  <c r="M59" i="3" s="1"/>
  <c r="U8" i="3" s="1"/>
  <c r="U13" i="3" s="1"/>
  <c r="U28" i="3" s="1"/>
  <c r="J92" i="4"/>
  <c r="H92" i="4"/>
  <c r="K92" i="4" s="1"/>
  <c r="J23" i="4"/>
  <c r="F23" i="4"/>
  <c r="K23" i="4" s="1"/>
  <c r="J19" i="4"/>
  <c r="L19" i="4" s="1" a="1"/>
  <c r="L19" i="4" s="1"/>
  <c r="H85" i="4"/>
  <c r="K85" i="4" s="1"/>
  <c r="H76" i="4"/>
  <c r="K76" i="4" s="1"/>
  <c r="H83" i="4"/>
  <c r="J75" i="4"/>
  <c r="H75" i="4"/>
  <c r="K75" i="4" s="1"/>
  <c r="L75" i="4" s="1" a="1"/>
  <c r="L75" i="4" s="1"/>
  <c r="H84" i="4"/>
  <c r="K84" i="4" s="1"/>
  <c r="H71" i="4"/>
  <c r="J83" i="4"/>
  <c r="J84" i="4"/>
  <c r="J76" i="4"/>
  <c r="E99" i="4"/>
  <c r="J85" i="4"/>
  <c r="J86" i="4"/>
  <c r="L86" i="4" s="1" a="1"/>
  <c r="L86" i="4" s="1"/>
  <c r="G87" i="4"/>
  <c r="G46" i="4"/>
  <c r="L28" i="4" a="1"/>
  <c r="L28" i="4" s="1"/>
  <c r="M4" i="3"/>
  <c r="U4" i="3"/>
  <c r="U58" i="3" l="1"/>
  <c r="T58" i="3"/>
  <c r="L92" i="4" a="1"/>
  <c r="L92" i="4" s="1"/>
  <c r="L23" i="4" a="1"/>
  <c r="L23" i="4" s="1"/>
  <c r="L76" i="4" a="1"/>
  <c r="L76" i="4" s="1"/>
  <c r="L84" i="4" a="1"/>
  <c r="L84" i="4" s="1"/>
  <c r="L85" i="4" a="1"/>
  <c r="L85" i="4" s="1"/>
  <c r="F31" i="4"/>
  <c r="K31" i="4" s="1"/>
  <c r="J87" i="4"/>
  <c r="J77" i="4"/>
  <c r="H77" i="4"/>
  <c r="K77" i="4" s="1"/>
  <c r="H87" i="4"/>
  <c r="K87" i="4" s="1"/>
  <c r="G64" i="4"/>
  <c r="K83" i="4"/>
  <c r="L83" i="4" s="1" a="1"/>
  <c r="L83" i="4" s="1"/>
  <c r="J31" i="4"/>
  <c r="L77" i="4" l="1" a="1"/>
  <c r="L77" i="4" s="1"/>
  <c r="L31" i="4" a="1"/>
  <c r="L31" i="4" s="1"/>
  <c r="F40" i="4"/>
  <c r="K40" i="4" s="1"/>
  <c r="L87" i="4" a="1"/>
  <c r="L87" i="4" s="1"/>
  <c r="F93" i="4" l="1"/>
  <c r="F46" i="4"/>
  <c r="K46" i="4" s="1"/>
  <c r="J40" i="4"/>
  <c r="L40" i="4" s="1" a="1"/>
  <c r="L40" i="4" s="1"/>
  <c r="G93" i="4" l="1"/>
  <c r="F94" i="4"/>
  <c r="F64" i="4"/>
  <c r="K64" i="4" s="1"/>
  <c r="J46" i="4"/>
  <c r="L46" i="4" s="1" a="1"/>
  <c r="L46" i="4" s="1"/>
  <c r="F65" i="4" l="1"/>
  <c r="J64" i="4"/>
  <c r="L64" i="4" s="1" a="1"/>
  <c r="L64" i="4" s="1"/>
  <c r="F96" i="4"/>
  <c r="H93" i="4"/>
  <c r="K93" i="4" s="1"/>
  <c r="G94" i="4"/>
  <c r="H94" i="4" l="1"/>
  <c r="K94" i="4" s="1"/>
  <c r="J93" i="4"/>
  <c r="L93" i="4" s="1" a="1"/>
  <c r="L93" i="4" s="1"/>
  <c r="G96" i="4"/>
  <c r="F74" i="4"/>
  <c r="G63" i="4"/>
  <c r="G65" i="4" l="1"/>
  <c r="F78" i="4"/>
  <c r="J96" i="4"/>
  <c r="H96" i="4"/>
  <c r="K96" i="4" s="1"/>
  <c r="J94" i="4"/>
  <c r="L94" i="4" s="1" a="1"/>
  <c r="L94" i="4" s="1"/>
  <c r="F99" i="4" l="1"/>
  <c r="L96" i="4" a="1"/>
  <c r="L96" i="4" s="1"/>
  <c r="G74" i="4"/>
  <c r="H63" i="4"/>
  <c r="K63" i="4" s="1"/>
  <c r="H65" i="4" l="1"/>
  <c r="K65" i="4" s="1"/>
  <c r="J63" i="4"/>
  <c r="L63" i="4" s="1" a="1"/>
  <c r="L63" i="4" s="1"/>
  <c r="G78" i="4"/>
  <c r="G99" i="4" l="1"/>
  <c r="H74" i="4"/>
  <c r="K74" i="4" s="1"/>
  <c r="J65" i="4"/>
  <c r="L65" i="4" s="1" a="1"/>
  <c r="L65" i="4" s="1"/>
  <c r="H78" i="4" l="1"/>
  <c r="K78" i="4" s="1"/>
  <c r="J74" i="4"/>
  <c r="L74" i="4" s="1" a="1"/>
  <c r="L74" i="4" s="1"/>
  <c r="H99" i="4" l="1"/>
  <c r="K99" i="4" s="1"/>
  <c r="J78" i="4"/>
  <c r="L78" i="4" s="1" a="1"/>
  <c r="L78" i="4" s="1"/>
  <c r="J99" i="4" l="1"/>
  <c r="L99" i="4" s="1" a="1"/>
  <c r="L99" i="4" s="1"/>
  <c r="F11" i="7" l="1"/>
  <c r="F15" i="7" l="1"/>
  <c r="F18" i="7" s="1"/>
  <c r="F20" i="7" s="1"/>
  <c r="F100" i="7" s="1"/>
  <c r="F111" i="7" s="1"/>
  <c r="F117" i="7" s="1"/>
  <c r="F73" i="7" s="1"/>
  <c r="F8" i="9"/>
  <c r="F9" i="9" s="1"/>
  <c r="H11" i="7"/>
  <c r="G11" i="7"/>
  <c r="I11" i="7"/>
  <c r="H15" i="7" l="1"/>
  <c r="H18" i="7" s="1"/>
  <c r="H16" i="8" s="1"/>
  <c r="H8" i="9"/>
  <c r="H9" i="9" s="1"/>
  <c r="I15" i="7"/>
  <c r="I18" i="7" s="1"/>
  <c r="I20" i="7" s="1"/>
  <c r="I100" i="7" s="1"/>
  <c r="I111" i="7" s="1"/>
  <c r="I8" i="9"/>
  <c r="I9" i="9" s="1"/>
  <c r="G15" i="7"/>
  <c r="G18" i="7" s="1"/>
  <c r="G16" i="8" s="1"/>
  <c r="G8" i="9"/>
  <c r="G9" i="9" s="1"/>
  <c r="F16" i="8"/>
  <c r="F21" i="7"/>
  <c r="H20" i="7"/>
  <c r="H100" i="7" s="1"/>
  <c r="H111" i="7" s="1"/>
  <c r="F45" i="7"/>
  <c r="F47" i="7" s="1"/>
  <c r="F51" i="7" s="1"/>
  <c r="J11" i="7"/>
  <c r="J15" i="7" l="1"/>
  <c r="J18" i="7" s="1"/>
  <c r="J16" i="8" s="1"/>
  <c r="J8" i="9"/>
  <c r="J9" i="9" s="1"/>
  <c r="F67" i="7"/>
  <c r="F11" i="9"/>
  <c r="F12" i="9" s="1"/>
  <c r="G20" i="7"/>
  <c r="G100" i="7" s="1"/>
  <c r="G111" i="7" s="1"/>
  <c r="G117" i="7" s="1"/>
  <c r="G73" i="7" s="1"/>
  <c r="I16" i="8"/>
  <c r="F152" i="7"/>
  <c r="F157" i="7" s="1"/>
  <c r="F27" i="8"/>
  <c r="F26" i="8" s="1"/>
  <c r="F23" i="7" s="1"/>
  <c r="F153" i="7" s="1"/>
  <c r="F158" i="7" s="1"/>
  <c r="I117" i="7"/>
  <c r="I21" i="7"/>
  <c r="H21" i="7"/>
  <c r="H45" i="7"/>
  <c r="H47" i="7" s="1"/>
  <c r="H51" i="7" s="1"/>
  <c r="I45" i="7"/>
  <c r="I47" i="7" s="1"/>
  <c r="I51" i="7" s="1"/>
  <c r="G45" i="7" l="1"/>
  <c r="G47" i="7" s="1"/>
  <c r="G51" i="7" s="1"/>
  <c r="G21" i="7"/>
  <c r="G67" i="7" s="1"/>
  <c r="H117" i="7"/>
  <c r="F159" i="7"/>
  <c r="G156" i="7" s="1"/>
  <c r="F82" i="7"/>
  <c r="F84" i="7" s="1"/>
  <c r="F17" i="9" s="1"/>
  <c r="J20" i="7"/>
  <c r="J100" i="7" s="1"/>
  <c r="J111" i="7" s="1"/>
  <c r="J117" i="7" s="1"/>
  <c r="H67" i="7"/>
  <c r="H11" i="9"/>
  <c r="H12" i="9" s="1"/>
  <c r="I67" i="7"/>
  <c r="I11" i="9"/>
  <c r="I12" i="9" s="1"/>
  <c r="H118" i="7"/>
  <c r="H73" i="7"/>
  <c r="I118" i="7"/>
  <c r="I73" i="7"/>
  <c r="F55" i="7"/>
  <c r="F57" i="7" s="1"/>
  <c r="F59" i="7" s="1"/>
  <c r="H27" i="8"/>
  <c r="H26" i="8" s="1"/>
  <c r="H23" i="7" s="1"/>
  <c r="H153" i="7" s="1"/>
  <c r="H158" i="7" s="1"/>
  <c r="H82" i="7" s="1"/>
  <c r="H84" i="7" s="1"/>
  <c r="H17" i="9" s="1"/>
  <c r="H152" i="7"/>
  <c r="H157" i="7" s="1"/>
  <c r="G27" i="8"/>
  <c r="G26" i="8" s="1"/>
  <c r="G23" i="7" s="1"/>
  <c r="G153" i="7" s="1"/>
  <c r="G158" i="7" s="1"/>
  <c r="G82" i="7" s="1"/>
  <c r="G84" i="7" s="1"/>
  <c r="G17" i="9" s="1"/>
  <c r="I27" i="8"/>
  <c r="I26" i="8" s="1"/>
  <c r="I23" i="7" s="1"/>
  <c r="I153" i="7" s="1"/>
  <c r="I158" i="7" s="1"/>
  <c r="I82" i="7" s="1"/>
  <c r="I84" i="7" s="1"/>
  <c r="I17" i="9" s="1"/>
  <c r="I152" i="7"/>
  <c r="I157" i="7" s="1"/>
  <c r="J45" i="7" l="1"/>
  <c r="J47" i="7" s="1"/>
  <c r="J51" i="7" s="1"/>
  <c r="J21" i="7"/>
  <c r="G152" i="7"/>
  <c r="G157" i="7" s="1"/>
  <c r="G11" i="9"/>
  <c r="G12" i="9" s="1"/>
  <c r="J67" i="7"/>
  <c r="J11" i="9"/>
  <c r="J12" i="9" s="1"/>
  <c r="I74" i="7"/>
  <c r="H74" i="7"/>
  <c r="J118" i="7"/>
  <c r="J73" i="7"/>
  <c r="J27" i="8"/>
  <c r="J26" i="8" s="1"/>
  <c r="J23" i="7" s="1"/>
  <c r="J153" i="7" s="1"/>
  <c r="J158" i="7" s="1"/>
  <c r="J82" i="7" s="1"/>
  <c r="J84" i="7" s="1"/>
  <c r="J17" i="9" s="1"/>
  <c r="J152" i="7"/>
  <c r="J157" i="7" s="1"/>
  <c r="G159" i="7"/>
  <c r="G55" i="7" s="1"/>
  <c r="G56" i="7" s="1"/>
  <c r="H15" i="9" l="1"/>
  <c r="J74" i="7"/>
  <c r="I15" i="9"/>
  <c r="H156" i="7"/>
  <c r="H159" i="7" s="1"/>
  <c r="H55" i="7" s="1"/>
  <c r="H56" i="7" s="1"/>
  <c r="J78" i="7"/>
  <c r="J16" i="9" s="1"/>
  <c r="F78" i="7"/>
  <c r="F16" i="9" s="1"/>
  <c r="H78" i="7"/>
  <c r="H16" i="9" s="1"/>
  <c r="I78" i="7"/>
  <c r="I16" i="9" s="1"/>
  <c r="I18" i="9" l="1"/>
  <c r="I87" i="7"/>
  <c r="J87" i="7"/>
  <c r="J15" i="9"/>
  <c r="J18" i="9" s="1"/>
  <c r="H18" i="9"/>
  <c r="H87" i="7"/>
  <c r="I156" i="7"/>
  <c r="I159" i="7" s="1"/>
  <c r="I55" i="7" s="1"/>
  <c r="I56" i="7" s="1"/>
  <c r="G78" i="7"/>
  <c r="G16" i="9" s="1"/>
  <c r="F145" i="7"/>
  <c r="G145" i="7"/>
  <c r="I145" i="7"/>
  <c r="H145" i="7"/>
  <c r="J145" i="7"/>
  <c r="J156" i="7" l="1"/>
  <c r="J159" i="7" s="1"/>
  <c r="J55" i="7" s="1"/>
  <c r="J56" i="7" s="1"/>
  <c r="F109" i="7"/>
  <c r="G115" i="7" s="1"/>
  <c r="F115" i="7" l="1"/>
  <c r="G118" i="7"/>
  <c r="G71" i="7"/>
  <c r="G74" i="7" s="1"/>
  <c r="F36" i="7"/>
  <c r="F40" i="7" s="1"/>
  <c r="F60" i="7" s="1"/>
  <c r="G87" i="7" l="1"/>
  <c r="G15" i="9"/>
  <c r="G18" i="9" s="1"/>
  <c r="F71" i="7"/>
  <c r="F74" i="7" s="1"/>
  <c r="F118" i="7"/>
  <c r="T11" i="7"/>
  <c r="G57" i="7"/>
  <c r="G59" i="7" s="1"/>
  <c r="G60" i="7" s="1"/>
  <c r="H57" i="7"/>
  <c r="H59" i="7" s="1"/>
  <c r="H60" i="7" s="1"/>
  <c r="F87" i="7" l="1"/>
  <c r="F88" i="7" s="1"/>
  <c r="G86" i="7" s="1"/>
  <c r="G88" i="7" s="1"/>
  <c r="H86" i="7" s="1"/>
  <c r="H88" i="7" s="1"/>
  <c r="I86" i="7" s="1"/>
  <c r="I88" i="7" s="1"/>
  <c r="J86" i="7" s="1"/>
  <c r="J88" i="7" s="1"/>
  <c r="F15" i="9"/>
  <c r="F18" i="9" s="1"/>
  <c r="I57" i="7"/>
  <c r="I59" i="7" s="1"/>
  <c r="I60" i="7" s="1"/>
  <c r="J57" i="7"/>
  <c r="J59" i="7" s="1"/>
  <c r="J6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Rajat</author>
  </authors>
  <commentList>
    <comment ref="D9" authorId="0" shapeId="0" xr:uid="{9FF546E0-F54B-4F2B-ADB3-88C2E4181824}">
      <text>
        <r>
          <rPr>
            <sz val="9"/>
            <color indexed="81"/>
            <rFont val="Tahoma"/>
            <family val="2"/>
          </rPr>
          <t xml:space="preserve">Peak / Rebound Growth
</t>
        </r>
      </text>
    </comment>
    <comment ref="E9" authorId="0" shapeId="0" xr:uid="{F51B577F-AFE7-4450-8A6A-3F3267BA1A15}">
      <text>
        <r>
          <rPr>
            <b/>
            <sz val="9"/>
            <color indexed="81"/>
            <rFont val="Tahoma"/>
            <family val="2"/>
          </rPr>
          <t xml:space="preserve">Normal Growth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8B924-BCCC-4025-BD95-54BA87FD375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5C51670-E703-4CB7-9F84-4588E81BC9D9}" name="WorksheetConnection_[Intro to 3-Statement Modeling Model (Complete).xlsx]Sheet1!$A$8:$F$1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troto3StatementModelingModelComplete.xlsxSheet1A8F17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<sst xmlns="http://schemas.openxmlformats.org/spreadsheetml/2006/main" count="501" uniqueCount="269">
  <si>
    <t xml:space="preserve"> </t>
  </si>
  <si>
    <t>Income Statement</t>
  </si>
  <si>
    <t>Cash Flow Statement</t>
  </si>
  <si>
    <t>Balance Sheet</t>
  </si>
  <si>
    <t>All figures in USD thousands</t>
  </si>
  <si>
    <t>CASH FROM OPERATIONS</t>
  </si>
  <si>
    <t>ASSETS</t>
  </si>
  <si>
    <t>Revenue</t>
  </si>
  <si>
    <t>Net Income</t>
  </si>
  <si>
    <t>Cash</t>
  </si>
  <si>
    <t>COGS</t>
  </si>
  <si>
    <t>Depreciation</t>
  </si>
  <si>
    <t>Accounts Receivable</t>
  </si>
  <si>
    <t>Gross Profit</t>
  </si>
  <si>
    <t>Deferred Tax</t>
  </si>
  <si>
    <t>Inventory</t>
  </si>
  <si>
    <t>Cash from Accounts Receivable</t>
  </si>
  <si>
    <t>Property Plant &amp; Equipment</t>
  </si>
  <si>
    <t>Cash from Inventory</t>
  </si>
  <si>
    <t>Total Assets</t>
  </si>
  <si>
    <t>SG&amp;A</t>
  </si>
  <si>
    <t>Cash from Accounts Payable</t>
  </si>
  <si>
    <t>Other</t>
  </si>
  <si>
    <t>Subtotal</t>
  </si>
  <si>
    <t>EBITDA</t>
  </si>
  <si>
    <t>LIABILITIES</t>
  </si>
  <si>
    <t>CASH FROM INVESTING</t>
  </si>
  <si>
    <t>Accounts Payable</t>
  </si>
  <si>
    <t>Capital Expenditure</t>
  </si>
  <si>
    <t>Line of Credit</t>
  </si>
  <si>
    <t>EBIT</t>
  </si>
  <si>
    <t>Term Loan</t>
  </si>
  <si>
    <t>Deferred Taxes</t>
  </si>
  <si>
    <t>Total Liabilities</t>
  </si>
  <si>
    <t>Interest Expense</t>
  </si>
  <si>
    <t>CASH FROM FINANCING</t>
  </si>
  <si>
    <t>EBT</t>
  </si>
  <si>
    <t>Line of Credit Issue / (Repay)</t>
  </si>
  <si>
    <t>Term Loan Issue / (Repay)</t>
  </si>
  <si>
    <t>Equity Issue / (Buyback)</t>
  </si>
  <si>
    <t>EQUITY</t>
  </si>
  <si>
    <t>Current Tax</t>
  </si>
  <si>
    <t>Payment of Dividends</t>
  </si>
  <si>
    <t>Equity Capital</t>
  </si>
  <si>
    <t>Retained Earnings</t>
  </si>
  <si>
    <t>Total Tax</t>
  </si>
  <si>
    <t>Shareholders' Equity</t>
  </si>
  <si>
    <t>CASH BALANCE</t>
  </si>
  <si>
    <t>Total Liabilities &amp; Equity</t>
  </si>
  <si>
    <t>Beginning</t>
  </si>
  <si>
    <t>Change in Cash</t>
  </si>
  <si>
    <t>Ending</t>
  </si>
  <si>
    <t>Check</t>
  </si>
  <si>
    <t>Learner</t>
  </si>
  <si>
    <t>Correct</t>
  </si>
  <si>
    <t>Compare</t>
  </si>
  <si>
    <t>All amounts in million, unless otherwise stated</t>
  </si>
  <si>
    <t xml:space="preserve">Profit from operations (before WC) </t>
  </si>
  <si>
    <t>Receivables</t>
  </si>
  <si>
    <t>Non-Cash Adjustments</t>
  </si>
  <si>
    <t>Depreciation and amortisation expenses</t>
  </si>
  <si>
    <t>Finance costs</t>
  </si>
  <si>
    <t>Interest income</t>
  </si>
  <si>
    <t>Dividend income</t>
  </si>
  <si>
    <t>Net loss on sale/discarding of PPE</t>
  </si>
  <si>
    <t>Net gain on sale of investments in debt MFs</t>
  </si>
  <si>
    <t>Fair valuation gain on investment in debt MFs</t>
  </si>
  <si>
    <t>Unrealised foreign exchange (gain)/loss</t>
  </si>
  <si>
    <t>Cash generated from Operating Activities</t>
  </si>
  <si>
    <t>Adjustments for changes in Working Capital:</t>
  </si>
  <si>
    <t xml:space="preserve">Income Taxes Paid </t>
  </si>
  <si>
    <t>Cash from Operating Activities</t>
  </si>
  <si>
    <t>Fixed assets purchased</t>
  </si>
  <si>
    <t>Fixed assets sold</t>
  </si>
  <si>
    <t>Investments Purchased</t>
  </si>
  <si>
    <t>Investments sold</t>
  </si>
  <si>
    <t>Interest received</t>
  </si>
  <si>
    <t>Dividend received</t>
  </si>
  <si>
    <t>Investment in group companies</t>
  </si>
  <si>
    <t xml:space="preserve">         -</t>
  </si>
  <si>
    <t>Redemption &amp; cancellation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</si>
  <si>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</si>
  <si>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</si>
  <si>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</si>
  <si>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</si>
  <si>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</si>
  <si>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</si>
  <si>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</si>
  <si>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(finance cost paid)</t>
  </si>
  <si>
    <t>Dividends paid</t>
  </si>
  <si>
    <t>Financial liabilities (lease principal)</t>
  </si>
  <si>
    <t>Other financing items</t>
  </si>
  <si>
    <t xml:space="preserve">                         -</t>
  </si>
  <si>
    <t xml:space="preserve">                     -</t>
  </si>
  <si>
    <t>NET CASH FLOW</t>
  </si>
  <si>
    <t>CURRENT ASSETS</t>
  </si>
  <si>
    <t>Total Current Assets</t>
  </si>
  <si>
    <t>NON-CURRENT ASSETS</t>
  </si>
  <si>
    <t>Other Current Assets</t>
  </si>
  <si>
    <t>Investments</t>
  </si>
  <si>
    <t>-</t>
  </si>
  <si>
    <t>Right-of-use assets</t>
  </si>
  <si>
    <t>Capital work-in-progress</t>
  </si>
  <si>
    <t>Intangible assets</t>
  </si>
  <si>
    <t>Intangible assets under development</t>
  </si>
  <si>
    <t xml:space="preserve">Loans </t>
  </si>
  <si>
    <t>Other Assets</t>
  </si>
  <si>
    <t>Non-current tax assets (Net)</t>
  </si>
  <si>
    <t>Deferred tax assets (Net)</t>
  </si>
  <si>
    <t>Other non-current assets</t>
  </si>
  <si>
    <t>Total Non-Current Assets</t>
  </si>
  <si>
    <t>CURRENT LIABILITIES</t>
  </si>
  <si>
    <t>Borrowings</t>
  </si>
  <si>
    <t>Lease Liabilities</t>
  </si>
  <si>
    <t>Trade Payables</t>
  </si>
  <si>
    <t>Other Current Liablities</t>
  </si>
  <si>
    <t>Provisions</t>
  </si>
  <si>
    <t>Net Tax Liabilities</t>
  </si>
  <si>
    <t>Total Current Liabilities</t>
  </si>
  <si>
    <t>NON CURRENT LIABILITIES</t>
  </si>
  <si>
    <t>Deferred tax liabilities (Net)</t>
  </si>
  <si>
    <t>Other non-current liabilities</t>
  </si>
  <si>
    <t>Lease liabilities</t>
  </si>
  <si>
    <t>Total Non-Current Liabilities</t>
  </si>
  <si>
    <t>Other Equity</t>
  </si>
  <si>
    <t>Return Ratios</t>
  </si>
  <si>
    <t>2023F</t>
  </si>
  <si>
    <t>2024F</t>
  </si>
  <si>
    <t>2025F</t>
  </si>
  <si>
    <t>ROA</t>
  </si>
  <si>
    <t>ROE</t>
  </si>
  <si>
    <t>ROIC</t>
  </si>
  <si>
    <t>Tax Rate</t>
  </si>
  <si>
    <t>NOPAT</t>
  </si>
  <si>
    <t>Invested Capital</t>
  </si>
  <si>
    <t>Profitability Ratios</t>
  </si>
  <si>
    <t>Gross Profit Margin</t>
  </si>
  <si>
    <t>Expense Ratios</t>
  </si>
  <si>
    <t>Effective Tax Rate</t>
  </si>
  <si>
    <t>Tax Burden</t>
  </si>
  <si>
    <t>Effective Interest Rate</t>
  </si>
  <si>
    <t>Interest Burden</t>
  </si>
  <si>
    <t>Asset Utilization Ratios</t>
  </si>
  <si>
    <t>Asset Turnover</t>
  </si>
  <si>
    <t>PPE Turnover</t>
  </si>
  <si>
    <t>A/R Turnover</t>
  </si>
  <si>
    <t>A/R Days</t>
  </si>
  <si>
    <t>Inventory Turnover</t>
  </si>
  <si>
    <t>Inventory Days</t>
  </si>
  <si>
    <t>A/P Turnover</t>
  </si>
  <si>
    <t>A/P Days</t>
  </si>
  <si>
    <t>Cash Conversion Cycle / WC Funding Gap</t>
  </si>
  <si>
    <t>Leverage Analysis</t>
  </si>
  <si>
    <t>Total Asset to Equity</t>
  </si>
  <si>
    <t>Total Liabilities to Equity</t>
  </si>
  <si>
    <t>Debt to Equity</t>
  </si>
  <si>
    <t>Debt to EBITDA</t>
  </si>
  <si>
    <t>Net Debt to EBITDA</t>
  </si>
  <si>
    <t>Liquidity Analysis</t>
  </si>
  <si>
    <t>Interest Coverage</t>
  </si>
  <si>
    <t>Current Ratio</t>
  </si>
  <si>
    <t>Quick Ratio</t>
  </si>
  <si>
    <t>Average</t>
  </si>
  <si>
    <t>DuPont Pyramid 3 Step Check</t>
  </si>
  <si>
    <t>Net Profit Margin</t>
  </si>
  <si>
    <t>Total Assets to Equity</t>
  </si>
  <si>
    <t>Equals Return on Equity</t>
  </si>
  <si>
    <t>DuPont Pyramid 5 Step Check</t>
  </si>
  <si>
    <t>EBIT Margin</t>
  </si>
  <si>
    <t>All figures in USD thousands unless stated</t>
  </si>
  <si>
    <t>Revenues</t>
  </si>
  <si>
    <t>Cost of Goods Sold</t>
  </si>
  <si>
    <t>Research and Development</t>
  </si>
  <si>
    <t>EBIT (Operating Profit)</t>
  </si>
  <si>
    <t>Interest</t>
  </si>
  <si>
    <t>Earnings Before Taxes</t>
  </si>
  <si>
    <t>Taxes</t>
  </si>
  <si>
    <t>Common Dividends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</si>
  <si>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</si>
  <si>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</si>
  <si>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</si>
  <si>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</si>
  <si>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</si>
  <si>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</si>
  <si>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</si>
  <si>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</si>
  <si>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Assumptions &amp; Drivers</t>
  </si>
  <si>
    <t>Days in Period</t>
  </si>
  <si>
    <t>Sales Growth</t>
  </si>
  <si>
    <t>Gross Margin</t>
  </si>
  <si>
    <t>Depreciation (Percent of Sales)</t>
  </si>
  <si>
    <t>Long-Term Debt Interest Rate (Average Debt)</t>
  </si>
  <si>
    <t>Tax Rate (Percent of EBT)</t>
  </si>
  <si>
    <t>Capital Asset Turnover Ratio</t>
  </si>
  <si>
    <t>(x)</t>
  </si>
  <si>
    <t>Receivable Days (Sales Basis)</t>
  </si>
  <si>
    <t>(Days)</t>
  </si>
  <si>
    <t>Inventory Days (COGS Basis)</t>
  </si>
  <si>
    <t>Payable Days (COGS Basis)</t>
  </si>
  <si>
    <t>Income Tax Payable (Percent of Taxes)</t>
  </si>
  <si>
    <t>Long Term Debt</t>
  </si>
  <si>
    <t>Common Share Capital</t>
  </si>
  <si>
    <t xml:space="preserve">Dividend Payout Ratio </t>
  </si>
  <si>
    <t>SG&amp;A (Fixed Cost)</t>
  </si>
  <si>
    <t>SG&amp;A (Percentof Sales)</t>
  </si>
  <si>
    <t>Trade and Other Receivables</t>
  </si>
  <si>
    <t>Inventories</t>
  </si>
  <si>
    <t>Property Plant and Equipment</t>
  </si>
  <si>
    <t>TOTAL ASSETS</t>
  </si>
  <si>
    <t>Trade and Other Payables</t>
  </si>
  <si>
    <t>Income Taxes Payable</t>
  </si>
  <si>
    <t>Long-Term Debt</t>
  </si>
  <si>
    <t>Common Stock and Additional Paid-In Capital</t>
  </si>
  <si>
    <t>Total Shareholders' Equity</t>
  </si>
  <si>
    <t>Non-Current Assets</t>
  </si>
  <si>
    <t>Borrowings and Lease Liabilities</t>
  </si>
  <si>
    <t>Other Non-Current Liabilities</t>
  </si>
  <si>
    <t>Cash Flows from Operating Activities</t>
  </si>
  <si>
    <t>Changes in Operating Assets and Liabilities:</t>
  </si>
  <si>
    <t>Investing Activities</t>
  </si>
  <si>
    <t>Acquisitions of Property and Equipment</t>
  </si>
  <si>
    <t>Cash Flows from Investing Activities</t>
  </si>
  <si>
    <t>Financing Activities</t>
  </si>
  <si>
    <t>Issuance of Common Stock</t>
  </si>
  <si>
    <t>Dividends (current year)</t>
  </si>
  <si>
    <t>Increase/(Decrease) in Long-Term Debt</t>
  </si>
  <si>
    <t>Cash Flows from Financing Activities</t>
  </si>
  <si>
    <t>Cash and Equivalents, Beginning of the Year</t>
  </si>
  <si>
    <t>Increase/(Decrease) in Cash and Equivalents</t>
  </si>
  <si>
    <t>Cash and Equivalents, End of the Year</t>
  </si>
  <si>
    <t>Working Capital and PP&amp;E Schedule</t>
  </si>
  <si>
    <t>Working Capital</t>
  </si>
  <si>
    <t>Income Tax Payable</t>
  </si>
  <si>
    <t>Cash Changes from Working Capital</t>
  </si>
  <si>
    <t>Cash from Working Capital Items</t>
  </si>
  <si>
    <t>Property, Plant &amp; Equipment (PP&amp;E)</t>
  </si>
  <si>
    <t>Beginning of Period</t>
  </si>
  <si>
    <t>Capital Expenditures/Additions (Disposals)</t>
  </si>
  <si>
    <t>Depreciation Expense</t>
  </si>
  <si>
    <t>Net PP&amp;E, End of Period</t>
  </si>
  <si>
    <t>Tax Expense</t>
  </si>
  <si>
    <t>Other Liabilities</t>
  </si>
  <si>
    <t>Capital Structure Schedules</t>
  </si>
  <si>
    <t/>
  </si>
  <si>
    <t>Long Term Debt (LTD)</t>
  </si>
  <si>
    <t>Additions (Repayments)</t>
  </si>
  <si>
    <t>LTD, End of Period</t>
  </si>
  <si>
    <t>Long-Term Debt Interest (Average Debt)</t>
  </si>
  <si>
    <t>Long Term Debt Interest</t>
  </si>
  <si>
    <t>Total Interest</t>
  </si>
  <si>
    <t>Common Stock, End of Period</t>
  </si>
  <si>
    <t>Dividends</t>
  </si>
  <si>
    <t>RE, End of Period</t>
  </si>
  <si>
    <t>Dividends Paid</t>
  </si>
  <si>
    <t>Average Debt</t>
  </si>
  <si>
    <t>Balance Sheet Check</t>
  </si>
  <si>
    <t>Minimum Cash Balance</t>
  </si>
  <si>
    <t>Excess Cash Balance</t>
  </si>
  <si>
    <t>Base Cash</t>
  </si>
  <si>
    <t>Total Cash</t>
  </si>
  <si>
    <t>Excess Cash</t>
  </si>
  <si>
    <t>Charts &amp; Graphs</t>
  </si>
  <si>
    <t>EBITDA Margin</t>
  </si>
  <si>
    <t>Net Income Margin</t>
  </si>
  <si>
    <t>Cash Flow</t>
  </si>
  <si>
    <t>Operating</t>
  </si>
  <si>
    <t>Investing</t>
  </si>
  <si>
    <t>Financing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</si>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</sst>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#,##0_)_%;\(#,##0\)_%;_(&quot;–&quot;_)_%;_(@_)_%"/>
    <numFmt numFmtId="166" formatCode="_-* #,##0_-;\(#,##0\)_-;_-* &quot;-&quot;_-;_-@_-"/>
    <numFmt numFmtId="167" formatCode="0&quot;A&quot;"/>
    <numFmt numFmtId="168" formatCode="0000\F"/>
    <numFmt numFmtId="169" formatCode="0000\A"/>
    <numFmt numFmtId="170" formatCode="_(#,##0_);\(#,##0\);_(&quot;–&quot;_);_(@_)"/>
    <numFmt numFmtId="171" formatCode="#,##0_);\(#,##0\);\-"/>
    <numFmt numFmtId="172" formatCode="[=1]&quot;☑️&quot;_);[=0]&quot;⬜&quot;_)"/>
    <numFmt numFmtId="173" formatCode="_(#,##0.0_);\(#,##0.0\);_(&quot;–&quot;_);_(@_)"/>
    <numFmt numFmtId="174" formatCode="[=1]&quot;☑️&quot;;[=0]&quot;⬜&quot;"/>
    <numFmt numFmtId="175" formatCode="_(0.00\x_);\(0.00\x\);_(&quot;–&quot;_);_(@_)"/>
    <numFmt numFmtId="176" formatCode="_(0.0_)&quot;days&quot;;\(0.0\)&quot;days&quot;;_(&quot;–&quot;_);_(@_)"/>
    <numFmt numFmtId="177" formatCode="&quot;Year &quot;0;&quot;Year &quot;\-0"/>
    <numFmt numFmtId="178" formatCode="0.0%"/>
    <numFmt numFmtId="179" formatCode="_(#,##0.0%_);\(#,##0.0%\);_(&quot;–&quot;_);_(@_)"/>
    <numFmt numFmtId="180" formatCode="_ [$₹-4009]\ * #,##0.00_ ;_ [$₹-4009]\ * \-#,##0.00_ ;_ [$₹-4009]\ * &quot;-&quot;??_ ;_ @_ "/>
    <numFmt numFmtId="181" formatCode="0&quot;F&quot;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0"/>
      <name val="Arial"/>
      <family val="2"/>
    </font>
    <font>
      <b/>
      <sz val="11"/>
      <color theme="1"/>
      <name val="Open Sans"/>
      <family val="2"/>
    </font>
    <font>
      <u/>
      <sz val="10"/>
      <color theme="10"/>
      <name val="Arial"/>
      <family val="2"/>
    </font>
    <font>
      <sz val="10"/>
      <color theme="0"/>
      <name val="Open Sans"/>
      <family val="2"/>
    </font>
    <font>
      <sz val="11"/>
      <name val="Open Sans"/>
      <family val="2"/>
    </font>
    <font>
      <sz val="10"/>
      <color rgb="FFFF0000"/>
      <name val="Open Sans"/>
      <family val="2"/>
    </font>
    <font>
      <b/>
      <sz val="16"/>
      <color theme="0"/>
      <name val="Open Sans"/>
      <family val="2"/>
    </font>
    <font>
      <sz val="10"/>
      <name val="Bookman"/>
      <family val="1"/>
    </font>
    <font>
      <i/>
      <sz val="11"/>
      <color theme="1"/>
      <name val="Open Sans"/>
      <family val="2"/>
    </font>
    <font>
      <b/>
      <sz val="14"/>
      <color rgb="FF3271D2"/>
      <name val="Open Sans"/>
      <family val="2"/>
    </font>
    <font>
      <b/>
      <sz val="10"/>
      <color theme="0"/>
      <name val="Open Sans"/>
      <family val="2"/>
    </font>
    <font>
      <sz val="14"/>
      <color theme="1"/>
      <name val="Open Sans"/>
      <family val="2"/>
    </font>
    <font>
      <b/>
      <sz val="14"/>
      <color rgb="FF0000FF"/>
      <name val="Open Sans"/>
      <family val="2"/>
    </font>
    <font>
      <b/>
      <i/>
      <sz val="10"/>
      <color theme="7" tint="-0.249977111117893"/>
      <name val="Open Sans"/>
      <family val="2"/>
    </font>
    <font>
      <i/>
      <sz val="9"/>
      <name val="Open Sans"/>
      <family val="2"/>
    </font>
    <font>
      <b/>
      <sz val="10"/>
      <color rgb="FF000000"/>
      <name val="Open Sans"/>
      <family val="2"/>
    </font>
    <font>
      <b/>
      <sz val="10"/>
      <name val="Open Sans"/>
      <family val="2"/>
    </font>
    <font>
      <sz val="14"/>
      <color rgb="FF000000"/>
      <name val="Open Sans"/>
      <family val="2"/>
    </font>
    <font>
      <sz val="11"/>
      <color rgb="FF000000"/>
      <name val="Open Sans"/>
      <family val="2"/>
    </font>
    <font>
      <sz val="10"/>
      <color rgb="FF000000"/>
      <name val="Open Sans"/>
      <family val="2"/>
    </font>
    <font>
      <sz val="11"/>
      <color theme="1"/>
      <name val="Arial Narrow"/>
      <family val="2"/>
    </font>
    <font>
      <sz val="13"/>
      <color theme="0"/>
      <name val="Open Sans"/>
      <family val="2"/>
    </font>
    <font>
      <sz val="10"/>
      <color rgb="FF3271D2"/>
      <name val="Open Sans"/>
      <family val="2"/>
    </font>
    <font>
      <i/>
      <sz val="10"/>
      <color rgb="FF000000"/>
      <name val="Open Sans"/>
      <family val="2"/>
    </font>
    <font>
      <sz val="10"/>
      <name val="Open Sans"/>
      <family val="2"/>
    </font>
    <font>
      <b/>
      <sz val="13"/>
      <color theme="0"/>
      <name val="Open Sans"/>
      <family val="2"/>
    </font>
    <font>
      <sz val="13"/>
      <color rgb="FF000000"/>
      <name val="Open Sans"/>
      <family val="2"/>
    </font>
    <font>
      <b/>
      <sz val="11"/>
      <color rgb="FF000000"/>
      <name val="Open Sans"/>
      <family val="2"/>
    </font>
    <font>
      <b/>
      <sz val="14"/>
      <color rgb="FF000000"/>
      <name val="Open Sans"/>
      <family val="2"/>
    </font>
    <font>
      <b/>
      <i/>
      <sz val="11"/>
      <color theme="1"/>
      <name val="Calibri"/>
      <family val="2"/>
      <scheme val="minor"/>
    </font>
    <font>
      <sz val="8"/>
      <color rgb="FF947131"/>
      <name val="Open Sans"/>
      <family val="2"/>
    </font>
    <font>
      <sz val="11"/>
      <color rgb="FF947131"/>
      <name val="Open Sans"/>
      <family val="2"/>
    </font>
    <font>
      <sz val="11"/>
      <color rgb="FF947131"/>
      <name val="Calibri"/>
      <family val="2"/>
      <scheme val="minor"/>
    </font>
    <font>
      <b/>
      <sz val="10"/>
      <color rgb="FF947131"/>
      <name val="Open Sans"/>
      <family val="2"/>
    </font>
    <font>
      <sz val="10"/>
      <color rgb="FF947131"/>
      <name val="Open Sans"/>
      <family val="2"/>
    </font>
    <font>
      <b/>
      <sz val="13"/>
      <color rgb="FF947131"/>
      <name val="Open Sans"/>
      <family val="2"/>
    </font>
    <font>
      <b/>
      <sz val="11"/>
      <color theme="1"/>
      <name val="Calibri"/>
      <family val="2"/>
      <scheme val="minor"/>
    </font>
    <font>
      <sz val="10"/>
      <color rgb="FF606F7B"/>
      <name val="Arial"/>
      <family val="2"/>
    </font>
    <font>
      <sz val="10"/>
      <color theme="1"/>
      <name val="Open Sans"/>
      <family val="2"/>
    </font>
    <font>
      <i/>
      <sz val="9"/>
      <color rgb="FF000000"/>
      <name val="Open Sans"/>
      <family val="2"/>
    </font>
    <font>
      <b/>
      <sz val="10"/>
      <color rgb="FF0000FF"/>
      <name val="Open Sans"/>
      <family val="2"/>
    </font>
    <font>
      <sz val="8"/>
      <name val="Calibri"/>
      <family val="2"/>
      <scheme val="minor"/>
    </font>
    <font>
      <sz val="10"/>
      <name val="Bookman"/>
    </font>
    <font>
      <i/>
      <sz val="8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8"/>
      <name val="Open Sans"/>
      <family val="2"/>
    </font>
    <font>
      <sz val="10"/>
      <color rgb="FF0000FF"/>
      <name val="Open Sans"/>
      <family val="2"/>
    </font>
    <font>
      <sz val="11"/>
      <color theme="8"/>
      <name val="Calibri"/>
      <family val="2"/>
      <scheme val="minor"/>
    </font>
    <font>
      <sz val="10"/>
      <color theme="8"/>
      <name val="Arial"/>
      <family val="2"/>
    </font>
    <font>
      <b/>
      <sz val="10"/>
      <color rgb="FF3271D2"/>
      <name val="Open Sans"/>
      <family val="2"/>
    </font>
    <font>
      <i/>
      <sz val="10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000C3F"/>
        <bgColor rgb="FF000000"/>
      </patternFill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3" fillId="0" borderId="0"/>
    <xf numFmtId="9" fontId="4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1">
    <xf numFmtId="0" fontId="0" fillId="0" borderId="0" xfId="0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2" fillId="0" borderId="0" xfId="6" applyNumberFormat="1" applyFont="1" applyAlignment="1" applyProtection="1">
      <alignment vertical="center"/>
      <protection locked="0"/>
    </xf>
    <xf numFmtId="166" fontId="11" fillId="0" borderId="0" xfId="6" applyNumberFormat="1" applyFont="1" applyAlignment="1" applyProtection="1">
      <alignment vertical="center"/>
      <protection locked="0"/>
    </xf>
    <xf numFmtId="166" fontId="11" fillId="0" borderId="0" xfId="6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vertical="center"/>
    </xf>
    <xf numFmtId="37" fontId="13" fillId="3" borderId="0" xfId="0" applyNumberFormat="1" applyFont="1" applyFill="1" applyAlignment="1">
      <alignment vertical="center"/>
    </xf>
    <xf numFmtId="167" fontId="13" fillId="3" borderId="0" xfId="0" applyNumberFormat="1" applyFont="1" applyFill="1" applyAlignment="1">
      <alignment horizontal="right" vertical="center"/>
    </xf>
    <xf numFmtId="37" fontId="6" fillId="3" borderId="0" xfId="3" applyNumberFormat="1" applyFont="1" applyFill="1" applyAlignment="1">
      <alignment vertical="center"/>
    </xf>
    <xf numFmtId="167" fontId="13" fillId="3" borderId="0" xfId="3" applyNumberFormat="1" applyFont="1" applyFill="1" applyAlignment="1">
      <alignment horizontal="right" vertical="center"/>
    </xf>
    <xf numFmtId="37" fontId="14" fillId="0" borderId="0" xfId="0" applyNumberFormat="1" applyFont="1" applyAlignment="1">
      <alignment vertical="center"/>
    </xf>
    <xf numFmtId="37" fontId="15" fillId="0" borderId="0" xfId="0" applyNumberFormat="1" applyFont="1" applyAlignment="1">
      <alignment vertical="center"/>
    </xf>
    <xf numFmtId="37" fontId="13" fillId="0" borderId="0" xfId="0" applyNumberFormat="1" applyFont="1" applyAlignment="1">
      <alignment vertical="center"/>
    </xf>
    <xf numFmtId="167" fontId="13" fillId="0" borderId="0" xfId="0" applyNumberFormat="1" applyFont="1" applyAlignment="1">
      <alignment horizontal="right" vertical="center"/>
    </xf>
    <xf numFmtId="37" fontId="15" fillId="0" borderId="0" xfId="3" applyNumberFormat="1" applyFont="1" applyAlignment="1">
      <alignment vertical="center"/>
    </xf>
    <xf numFmtId="37" fontId="6" fillId="0" borderId="0" xfId="3" applyNumberFormat="1" applyFont="1" applyAlignment="1">
      <alignment vertical="center"/>
    </xf>
    <xf numFmtId="167" fontId="13" fillId="0" borderId="0" xfId="3" applyNumberFormat="1" applyFont="1" applyAlignment="1">
      <alignment horizontal="right" vertical="center"/>
    </xf>
    <xf numFmtId="167" fontId="16" fillId="0" borderId="0" xfId="3" applyNumberFormat="1" applyFont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168" fontId="18" fillId="0" borderId="2" xfId="0" applyNumberFormat="1" applyFont="1" applyBorder="1" applyAlignment="1">
      <alignment horizontal="right" vertical="center"/>
    </xf>
    <xf numFmtId="167" fontId="19" fillId="0" borderId="0" xfId="3" applyNumberFormat="1" applyFont="1" applyAlignment="1">
      <alignment horizontal="right" vertical="center"/>
    </xf>
    <xf numFmtId="169" fontId="18" fillId="0" borderId="2" xfId="0" applyNumberFormat="1" applyFont="1" applyBorder="1" applyAlignment="1">
      <alignment horizontal="right" vertical="center"/>
    </xf>
    <xf numFmtId="37" fontId="20" fillId="0" borderId="0" xfId="0" applyNumberFormat="1" applyFont="1" applyAlignment="1">
      <alignment vertical="center"/>
    </xf>
    <xf numFmtId="37" fontId="20" fillId="0" borderId="0" xfId="3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18" fillId="0" borderId="0" xfId="3" applyFont="1" applyAlignment="1">
      <alignment vertical="center"/>
    </xf>
    <xf numFmtId="166" fontId="22" fillId="0" borderId="0" xfId="7" applyNumberFormat="1" applyFont="1" applyAlignment="1" applyProtection="1">
      <alignment horizontal="center" vertical="center"/>
      <protection locked="0"/>
    </xf>
    <xf numFmtId="166" fontId="22" fillId="0" borderId="0" xfId="7" applyNumberFormat="1" applyFont="1" applyBorder="1" applyAlignment="1" applyProtection="1">
      <alignment vertical="center"/>
      <protection locked="0"/>
    </xf>
    <xf numFmtId="166" fontId="22" fillId="0" borderId="0" xfId="7" applyNumberFormat="1" applyFont="1" applyBorder="1" applyAlignment="1" applyProtection="1">
      <alignment horizontal="center" vertical="center"/>
      <protection locked="0"/>
    </xf>
    <xf numFmtId="166" fontId="22" fillId="0" borderId="0" xfId="7" applyNumberFormat="1" applyFont="1" applyAlignment="1" applyProtection="1">
      <alignment vertical="center"/>
      <protection locked="0"/>
    </xf>
    <xf numFmtId="0" fontId="22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/>
    </xf>
    <xf numFmtId="170" fontId="25" fillId="0" borderId="0" xfId="0" applyNumberFormat="1" applyFont="1" applyAlignment="1">
      <alignment horizontal="right" vertical="center"/>
    </xf>
    <xf numFmtId="170" fontId="22" fillId="4" borderId="0" xfId="7" applyNumberFormat="1" applyFont="1" applyFill="1" applyBorder="1" applyAlignment="1" applyProtection="1">
      <alignment vertical="center"/>
      <protection locked="0"/>
    </xf>
    <xf numFmtId="0" fontId="22" fillId="0" borderId="0" xfId="8" applyFont="1" applyAlignment="1" applyProtection="1">
      <alignment vertical="center"/>
      <protection locked="0"/>
    </xf>
    <xf numFmtId="170" fontId="22" fillId="0" borderId="0" xfId="7" applyNumberFormat="1" applyFont="1" applyFill="1" applyBorder="1" applyAlignment="1" applyProtection="1">
      <alignment vertical="center"/>
      <protection locked="0"/>
    </xf>
    <xf numFmtId="170" fontId="25" fillId="0" borderId="0" xfId="7" applyNumberFormat="1" applyFont="1" applyFill="1" applyAlignment="1" applyProtection="1">
      <alignment vertical="center"/>
      <protection locked="0"/>
    </xf>
    <xf numFmtId="170" fontId="25" fillId="0" borderId="3" xfId="0" applyNumberFormat="1" applyFont="1" applyBorder="1" applyAlignment="1">
      <alignment horizontal="right" vertical="center"/>
    </xf>
    <xf numFmtId="170" fontId="22" fillId="0" borderId="0" xfId="7" applyNumberFormat="1" applyFont="1" applyBorder="1" applyAlignment="1" applyProtection="1">
      <alignment vertical="center"/>
      <protection locked="0"/>
    </xf>
    <xf numFmtId="0" fontId="18" fillId="0" borderId="0" xfId="0" applyFont="1" applyAlignment="1">
      <alignment horizontal="left" vertical="center" indent="1"/>
    </xf>
    <xf numFmtId="0" fontId="13" fillId="0" borderId="0" xfId="0" quotePrefix="1" applyFont="1" applyAlignment="1">
      <alignment horizontal="left" vertical="center"/>
    </xf>
    <xf numFmtId="170" fontId="18" fillId="4" borderId="0" xfId="0" applyNumberFormat="1" applyFont="1" applyFill="1" applyAlignment="1">
      <alignment horizontal="right" vertical="center"/>
    </xf>
    <xf numFmtId="170" fontId="25" fillId="0" borderId="0" xfId="7" applyNumberFormat="1" applyFont="1" applyFill="1" applyBorder="1" applyAlignment="1" applyProtection="1">
      <alignment vertical="center"/>
      <protection locked="0"/>
    </xf>
    <xf numFmtId="0" fontId="7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170" fontId="18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 indent="2"/>
    </xf>
    <xf numFmtId="166" fontId="22" fillId="0" borderId="0" xfId="7" applyNumberFormat="1" applyFont="1" applyFill="1" applyBorder="1" applyAlignment="1" applyProtection="1">
      <alignment horizontal="center" vertical="center"/>
      <protection locked="0"/>
    </xf>
    <xf numFmtId="170" fontId="26" fillId="0" borderId="0" xfId="7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>
      <alignment vertical="center"/>
    </xf>
    <xf numFmtId="9" fontId="18" fillId="0" borderId="0" xfId="1" applyFont="1" applyFill="1" applyAlignment="1">
      <alignment horizontal="right" vertical="center"/>
    </xf>
    <xf numFmtId="166" fontId="18" fillId="0" borderId="0" xfId="7" applyNumberFormat="1" applyFont="1" applyFill="1" applyBorder="1" applyAlignment="1" applyProtection="1">
      <alignment horizontal="center" vertical="center"/>
      <protection locked="0"/>
    </xf>
    <xf numFmtId="0" fontId="13" fillId="0" borderId="0" xfId="0" quotePrefix="1" applyFont="1" applyAlignment="1">
      <alignment horizontal="center" vertical="center"/>
    </xf>
    <xf numFmtId="170" fontId="18" fillId="4" borderId="4" xfId="7" applyNumberFormat="1" applyFont="1" applyFill="1" applyBorder="1" applyAlignment="1" applyProtection="1">
      <alignment vertical="center"/>
      <protection locked="0"/>
    </xf>
    <xf numFmtId="0" fontId="28" fillId="0" borderId="0" xfId="0" applyFont="1" applyAlignment="1">
      <alignment horizontal="left" vertical="center"/>
    </xf>
    <xf numFmtId="170" fontId="25" fillId="0" borderId="3" xfId="7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166" fontId="18" fillId="0" borderId="0" xfId="7" applyNumberFormat="1" applyFont="1" applyFill="1" applyBorder="1" applyAlignment="1" applyProtection="1">
      <alignment vertical="center"/>
      <protection locked="0"/>
    </xf>
    <xf numFmtId="170" fontId="18" fillId="0" borderId="0" xfId="7" applyNumberFormat="1" applyFont="1" applyBorder="1" applyAlignment="1" applyProtection="1">
      <alignment horizontal="center" vertical="center"/>
      <protection locked="0"/>
    </xf>
    <xf numFmtId="170" fontId="22" fillId="0" borderId="0" xfId="7" applyNumberFormat="1" applyFont="1" applyFill="1" applyAlignment="1" applyProtection="1">
      <alignment vertical="center"/>
      <protection locked="0"/>
    </xf>
    <xf numFmtId="0" fontId="29" fillId="0" borderId="0" xfId="0" applyFont="1" applyAlignment="1">
      <alignment horizontal="right" vertical="center"/>
    </xf>
    <xf numFmtId="170" fontId="22" fillId="0" borderId="0" xfId="7" applyNumberFormat="1" applyFont="1" applyAlignment="1" applyProtection="1">
      <alignment horizontal="center" vertical="center"/>
      <protection locked="0"/>
    </xf>
    <xf numFmtId="170" fontId="22" fillId="0" borderId="0" xfId="7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8" fillId="0" borderId="0" xfId="8" applyFont="1" applyAlignment="1" applyProtection="1">
      <alignment vertical="center"/>
      <protection locked="0"/>
    </xf>
    <xf numFmtId="166" fontId="18" fillId="0" borderId="0" xfId="7" applyNumberFormat="1" applyFont="1" applyBorder="1" applyAlignment="1" applyProtection="1">
      <alignment vertical="center"/>
      <protection locked="0"/>
    </xf>
    <xf numFmtId="170" fontId="22" fillId="4" borderId="3" xfId="7" applyNumberFormat="1" applyFont="1" applyFill="1" applyBorder="1" applyAlignment="1" applyProtection="1">
      <alignment vertical="center"/>
      <protection locked="0"/>
    </xf>
    <xf numFmtId="170" fontId="22" fillId="0" borderId="0" xfId="0" applyNumberFormat="1" applyFont="1" applyAlignment="1">
      <alignment horizontal="right" vertical="center"/>
    </xf>
    <xf numFmtId="166" fontId="18" fillId="0" borderId="0" xfId="7" applyNumberFormat="1" applyFont="1" applyBorder="1" applyAlignment="1" applyProtection="1">
      <alignment horizontal="center" vertical="center"/>
      <protection locked="0"/>
    </xf>
    <xf numFmtId="170" fontId="18" fillId="4" borderId="5" xfId="7" applyNumberFormat="1" applyFont="1" applyFill="1" applyBorder="1" applyAlignment="1" applyProtection="1">
      <alignment vertical="center"/>
      <protection locked="0"/>
    </xf>
    <xf numFmtId="170" fontId="18" fillId="0" borderId="0" xfId="7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170" fontId="22" fillId="4" borderId="0" xfId="0" applyNumberFormat="1" applyFont="1" applyFill="1" applyAlignment="1">
      <alignment horizontal="right" vertical="center"/>
    </xf>
    <xf numFmtId="170" fontId="21" fillId="0" borderId="0" xfId="0" applyNumberFormat="1" applyFont="1" applyAlignment="1">
      <alignment vertical="center"/>
    </xf>
    <xf numFmtId="170" fontId="18" fillId="4" borderId="4" xfId="0" applyNumberFormat="1" applyFont="1" applyFill="1" applyBorder="1" applyAlignment="1">
      <alignment horizontal="right" vertical="center"/>
    </xf>
    <xf numFmtId="170" fontId="22" fillId="4" borderId="0" xfId="7" applyNumberFormat="1" applyFont="1" applyFill="1" applyAlignment="1" applyProtection="1">
      <alignment vertical="center"/>
      <protection locked="0"/>
    </xf>
    <xf numFmtId="166" fontId="27" fillId="0" borderId="0" xfId="7" applyNumberFormat="1" applyFont="1" applyBorder="1" applyAlignment="1" applyProtection="1">
      <alignment vertical="center"/>
      <protection locked="0"/>
    </xf>
    <xf numFmtId="166" fontId="27" fillId="0" borderId="0" xfId="7" applyNumberFormat="1" applyFont="1" applyBorder="1" applyAlignment="1" applyProtection="1">
      <alignment horizontal="center" vertical="center"/>
      <protection locked="0"/>
    </xf>
    <xf numFmtId="166" fontId="22" fillId="0" borderId="0" xfId="7" applyNumberFormat="1" applyFont="1" applyFill="1" applyAlignment="1" applyProtection="1">
      <alignment vertical="center"/>
      <protection locked="0"/>
    </xf>
    <xf numFmtId="0" fontId="7" fillId="0" borderId="0" xfId="0" applyFont="1" applyAlignment="1">
      <alignment vertical="center" wrapText="1"/>
    </xf>
    <xf numFmtId="0" fontId="27" fillId="0" borderId="0" xfId="2" applyFont="1" applyAlignment="1">
      <alignment horizontal="left" vertical="center" indent="1"/>
    </xf>
    <xf numFmtId="171" fontId="22" fillId="0" borderId="0" xfId="3" applyNumberFormat="1" applyFont="1" applyAlignment="1">
      <alignment vertical="center"/>
    </xf>
    <xf numFmtId="170" fontId="22" fillId="4" borderId="0" xfId="3" applyNumberFormat="1" applyFont="1" applyFill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5" borderId="0" xfId="0" applyFont="1" applyFill="1"/>
    <xf numFmtId="0" fontId="4" fillId="0" borderId="3" xfId="0" applyFont="1" applyBorder="1" applyAlignment="1">
      <alignment vertical="center"/>
    </xf>
    <xf numFmtId="0" fontId="9" fillId="0" borderId="0" xfId="4" applyFont="1" applyFill="1" applyAlignment="1">
      <alignment horizontal="center" vertical="center"/>
    </xf>
    <xf numFmtId="170" fontId="0" fillId="4" borderId="0" xfId="0" applyNumberFormat="1" applyFill="1" applyAlignment="1">
      <alignment horizontal="right"/>
    </xf>
    <xf numFmtId="170" fontId="0" fillId="4" borderId="1" xfId="0" applyNumberFormat="1" applyFill="1" applyBorder="1" applyAlignment="1">
      <alignment horizontal="right"/>
    </xf>
    <xf numFmtId="170" fontId="0" fillId="4" borderId="10" xfId="0" applyNumberFormat="1" applyFill="1" applyBorder="1" applyAlignment="1">
      <alignment horizontal="right"/>
    </xf>
    <xf numFmtId="170" fontId="0" fillId="4" borderId="11" xfId="0" applyNumberFormat="1" applyFill="1" applyBorder="1" applyAlignment="1">
      <alignment horizontal="right"/>
    </xf>
    <xf numFmtId="170" fontId="32" fillId="4" borderId="16" xfId="0" applyNumberFormat="1" applyFont="1" applyFill="1" applyBorder="1" applyAlignment="1">
      <alignment horizontal="right"/>
    </xf>
    <xf numFmtId="170" fontId="32" fillId="4" borderId="17" xfId="0" applyNumberFormat="1" applyFont="1" applyFill="1" applyBorder="1" applyAlignment="1">
      <alignment horizontal="right"/>
    </xf>
    <xf numFmtId="173" fontId="32" fillId="4" borderId="18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4" borderId="15" xfId="0" applyNumberFormat="1" applyFill="1" applyBorder="1" applyAlignment="1">
      <alignment horizontal="right"/>
    </xf>
    <xf numFmtId="170" fontId="0" fillId="4" borderId="9" xfId="0" applyNumberFormat="1" applyFill="1" applyBorder="1" applyAlignment="1">
      <alignment horizontal="right"/>
    </xf>
    <xf numFmtId="170" fontId="0" fillId="4" borderId="6" xfId="0" applyNumberFormat="1" applyFill="1" applyBorder="1" applyAlignment="1">
      <alignment horizontal="right"/>
    </xf>
    <xf numFmtId="170" fontId="0" fillId="4" borderId="7" xfId="0" applyNumberFormat="1" applyFill="1" applyBorder="1" applyAlignment="1">
      <alignment horizontal="right"/>
    </xf>
    <xf numFmtId="170" fontId="0" fillId="4" borderId="16" xfId="0" applyNumberFormat="1" applyFill="1" applyBorder="1" applyAlignment="1">
      <alignment horizontal="right"/>
    </xf>
    <xf numFmtId="170" fontId="0" fillId="4" borderId="17" xfId="0" applyNumberFormat="1" applyFill="1" applyBorder="1" applyAlignment="1">
      <alignment horizontal="right"/>
    </xf>
    <xf numFmtId="172" fontId="33" fillId="4" borderId="12" xfId="3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72" fontId="33" fillId="4" borderId="18" xfId="3" applyNumberFormat="1" applyFont="1" applyFill="1" applyBorder="1" applyAlignment="1" applyProtection="1">
      <alignment horizontal="center" vertical="center"/>
      <protection hidden="1"/>
    </xf>
    <xf numFmtId="172" fontId="33" fillId="4" borderId="8" xfId="3" applyNumberFormat="1" applyFont="1" applyFill="1" applyBorder="1" applyAlignment="1" applyProtection="1">
      <alignment horizontal="center" vertical="center"/>
      <protection hidden="1"/>
    </xf>
    <xf numFmtId="172" fontId="33" fillId="4" borderId="13" xfId="3" applyNumberFormat="1" applyFont="1" applyFill="1" applyBorder="1" applyAlignment="1" applyProtection="1">
      <alignment horizontal="center" vertical="center"/>
      <protection hidden="1"/>
    </xf>
    <xf numFmtId="172" fontId="33" fillId="4" borderId="14" xfId="3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40" fillId="0" borderId="0" xfId="0" applyFont="1"/>
    <xf numFmtId="0" fontId="3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74" fontId="33" fillId="0" borderId="0" xfId="3" applyNumberFormat="1" applyFont="1" applyAlignment="1" applyProtection="1">
      <alignment horizontal="center" vertical="center"/>
      <protection hidden="1"/>
    </xf>
    <xf numFmtId="166" fontId="22" fillId="0" borderId="0" xfId="7" applyNumberFormat="1" applyFont="1" applyFill="1" applyAlignment="1" applyProtection="1">
      <alignment horizontal="center" vertical="center"/>
      <protection locked="0"/>
    </xf>
    <xf numFmtId="166" fontId="22" fillId="0" borderId="0" xfId="7" applyNumberFormat="1" applyFont="1" applyFill="1" applyBorder="1" applyAlignment="1" applyProtection="1">
      <alignment vertical="center"/>
      <protection locked="0"/>
    </xf>
    <xf numFmtId="3" fontId="0" fillId="0" borderId="0" xfId="0" applyNumberForma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70" fontId="18" fillId="0" borderId="4" xfId="7" applyNumberFormat="1" applyFont="1" applyFill="1" applyBorder="1" applyAlignment="1" applyProtection="1">
      <alignment vertical="center"/>
      <protection locked="0"/>
    </xf>
    <xf numFmtId="0" fontId="30" fillId="0" borderId="0" xfId="0" applyFont="1" applyAlignment="1">
      <alignment vertical="center"/>
    </xf>
    <xf numFmtId="166" fontId="37" fillId="0" borderId="0" xfId="7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/>
    <xf numFmtId="0" fontId="0" fillId="0" borderId="0" xfId="0" applyAlignment="1">
      <alignment horizontal="right"/>
    </xf>
    <xf numFmtId="37" fontId="31" fillId="0" borderId="0" xfId="0" applyNumberFormat="1" applyFont="1" applyAlignment="1">
      <alignment vertical="center"/>
    </xf>
    <xf numFmtId="170" fontId="18" fillId="0" borderId="4" xfId="0" applyNumberFormat="1" applyFont="1" applyBorder="1" applyAlignment="1">
      <alignment horizontal="right" vertical="center"/>
    </xf>
    <xf numFmtId="170" fontId="37" fillId="0" borderId="0" xfId="7" applyNumberFormat="1" applyFont="1" applyFill="1" applyAlignment="1" applyProtection="1">
      <alignment horizontal="center" vertical="center"/>
      <protection locked="0"/>
    </xf>
    <xf numFmtId="170" fontId="36" fillId="0" borderId="0" xfId="7" applyNumberFormat="1" applyFont="1" applyFill="1" applyBorder="1" applyAlignment="1" applyProtection="1">
      <alignment horizontal="center" vertical="center"/>
      <protection locked="0"/>
    </xf>
    <xf numFmtId="170" fontId="18" fillId="0" borderId="5" xfId="7" applyNumberFormat="1" applyFont="1" applyFill="1" applyBorder="1" applyAlignment="1" applyProtection="1">
      <alignment vertical="center"/>
      <protection locked="0"/>
    </xf>
    <xf numFmtId="166" fontId="27" fillId="0" borderId="0" xfId="7" applyNumberFormat="1" applyFont="1" applyFill="1" applyBorder="1" applyAlignment="1" applyProtection="1">
      <alignment vertical="center"/>
      <protection locked="0"/>
    </xf>
    <xf numFmtId="166" fontId="27" fillId="0" borderId="0" xfId="7" applyNumberFormat="1" applyFont="1" applyFill="1" applyBorder="1" applyAlignment="1" applyProtection="1">
      <alignment horizontal="center" vertical="center"/>
      <protection locked="0"/>
    </xf>
    <xf numFmtId="166" fontId="37" fillId="0" borderId="0" xfId="7" applyNumberFormat="1" applyFont="1" applyFill="1" applyBorder="1" applyAlignment="1" applyProtection="1">
      <alignment vertical="center"/>
      <protection locked="0"/>
    </xf>
    <xf numFmtId="170" fontId="22" fillId="0" borderId="0" xfId="3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9" fontId="22" fillId="0" borderId="0" xfId="1" applyFont="1" applyAlignment="1">
      <alignment vertical="center"/>
    </xf>
    <xf numFmtId="3" fontId="2" fillId="0" borderId="0" xfId="0" applyNumberFormat="1" applyFont="1"/>
    <xf numFmtId="0" fontId="2" fillId="7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0" fontId="27" fillId="0" borderId="0" xfId="9" applyFont="1"/>
    <xf numFmtId="0" fontId="41" fillId="0" borderId="0" xfId="0" applyFont="1"/>
    <xf numFmtId="0" fontId="41" fillId="0" borderId="0" xfId="0" applyFont="1" applyAlignment="1">
      <alignment horizontal="center"/>
    </xf>
    <xf numFmtId="175" fontId="22" fillId="0" borderId="0" xfId="0" applyNumberFormat="1" applyFont="1" applyAlignment="1">
      <alignment horizontal="right"/>
    </xf>
    <xf numFmtId="176" fontId="22" fillId="0" borderId="0" xfId="0" applyNumberFormat="1" applyFont="1" applyAlignment="1">
      <alignment horizontal="right"/>
    </xf>
    <xf numFmtId="170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9" fontId="7" fillId="0" borderId="0" xfId="1" applyFont="1" applyAlignment="1">
      <alignment vertical="center"/>
    </xf>
    <xf numFmtId="9" fontId="2" fillId="0" borderId="0" xfId="0" applyNumberFormat="1" applyFont="1"/>
    <xf numFmtId="175" fontId="2" fillId="0" borderId="0" xfId="0" applyNumberFormat="1" applyFont="1"/>
    <xf numFmtId="175" fontId="41" fillId="0" borderId="0" xfId="0" applyNumberFormat="1" applyFont="1"/>
    <xf numFmtId="9" fontId="2" fillId="0" borderId="0" xfId="1" applyFont="1"/>
    <xf numFmtId="9" fontId="41" fillId="0" borderId="0" xfId="1" applyFont="1"/>
    <xf numFmtId="37" fontId="12" fillId="3" borderId="0" xfId="3" applyNumberFormat="1" applyFont="1" applyFill="1" applyAlignment="1">
      <alignment vertical="center"/>
    </xf>
    <xf numFmtId="37" fontId="12" fillId="0" borderId="0" xfId="3" applyNumberFormat="1" applyFont="1" applyAlignment="1">
      <alignment vertical="center"/>
    </xf>
    <xf numFmtId="166" fontId="42" fillId="0" borderId="0" xfId="6" applyNumberFormat="1" applyFont="1" applyFill="1" applyAlignment="1" applyProtection="1">
      <alignment horizontal="left"/>
      <protection locked="0"/>
    </xf>
    <xf numFmtId="0" fontId="19" fillId="0" borderId="0" xfId="3" applyFont="1"/>
    <xf numFmtId="0" fontId="27" fillId="0" borderId="0" xfId="3" applyFont="1"/>
    <xf numFmtId="171" fontId="27" fillId="0" borderId="0" xfId="3" applyNumberFormat="1" applyFont="1"/>
    <xf numFmtId="0" fontId="27" fillId="0" borderId="0" xfId="3" applyFont="1" applyAlignment="1">
      <alignment horizontal="left" indent="1"/>
    </xf>
    <xf numFmtId="170" fontId="25" fillId="0" borderId="0" xfId="3" applyNumberFormat="1" applyFont="1"/>
    <xf numFmtId="170" fontId="22" fillId="0" borderId="0" xfId="3" applyNumberFormat="1" applyFont="1"/>
    <xf numFmtId="0" fontId="19" fillId="0" borderId="0" xfId="3" applyFont="1" applyAlignment="1">
      <alignment horizontal="left" indent="1"/>
    </xf>
    <xf numFmtId="170" fontId="18" fillId="0" borderId="0" xfId="3" applyNumberFormat="1" applyFont="1"/>
    <xf numFmtId="170" fontId="43" fillId="0" borderId="0" xfId="3" applyNumberFormat="1" applyFont="1"/>
    <xf numFmtId="170" fontId="19" fillId="0" borderId="0" xfId="3" applyNumberFormat="1" applyFont="1"/>
    <xf numFmtId="177" fontId="18" fillId="8" borderId="19" xfId="3" applyNumberFormat="1" applyFont="1" applyFill="1" applyBorder="1" applyAlignment="1">
      <alignment horizontal="right" vertical="center"/>
    </xf>
    <xf numFmtId="0" fontId="46" fillId="0" borderId="0" xfId="3" applyFont="1" applyAlignment="1">
      <alignment horizontal="center"/>
    </xf>
    <xf numFmtId="170" fontId="22" fillId="9" borderId="0" xfId="3" applyNumberFormat="1" applyFont="1" applyFill="1"/>
    <xf numFmtId="0" fontId="19" fillId="10" borderId="0" xfId="3" applyFont="1" applyFill="1"/>
    <xf numFmtId="170" fontId="22" fillId="9" borderId="0" xfId="3" applyNumberFormat="1" applyFont="1" applyFill="1" applyAlignment="1">
      <alignment horizontal="right"/>
    </xf>
    <xf numFmtId="170" fontId="41" fillId="9" borderId="0" xfId="3" applyNumberFormat="1" applyFont="1" applyFill="1" applyAlignment="1">
      <alignment horizontal="right"/>
    </xf>
    <xf numFmtId="167" fontId="18" fillId="0" borderId="0" xfId="3" applyNumberFormat="1" applyFont="1" applyAlignment="1">
      <alignment horizontal="right" vertical="center"/>
    </xf>
    <xf numFmtId="181" fontId="18" fillId="0" borderId="0" xfId="3" applyNumberFormat="1" applyFont="1" applyAlignment="1">
      <alignment horizontal="right" vertical="center"/>
    </xf>
    <xf numFmtId="0" fontId="50" fillId="0" borderId="0" xfId="3" applyFont="1"/>
    <xf numFmtId="170" fontId="50" fillId="0" borderId="0" xfId="3" applyNumberFormat="1" applyFont="1"/>
    <xf numFmtId="170" fontId="27" fillId="0" borderId="0" xfId="3" applyNumberFormat="1" applyFont="1"/>
    <xf numFmtId="0" fontId="27" fillId="0" borderId="0" xfId="3" applyFont="1" applyAlignment="1">
      <alignment horizontal="left"/>
    </xf>
    <xf numFmtId="179" fontId="22" fillId="6" borderId="0" xfId="10" applyNumberFormat="1" applyFont="1" applyFill="1" applyAlignment="1">
      <alignment horizontal="center"/>
    </xf>
    <xf numFmtId="170" fontId="12" fillId="0" borderId="0" xfId="3" applyNumberFormat="1" applyFont="1" applyAlignment="1">
      <alignment vertical="center"/>
    </xf>
    <xf numFmtId="170" fontId="18" fillId="0" borderId="0" xfId="3" applyNumberFormat="1" applyFont="1" applyAlignment="1">
      <alignment horizontal="right" vertical="center"/>
    </xf>
    <xf numFmtId="170" fontId="50" fillId="0" borderId="0" xfId="3" applyNumberFormat="1" applyFont="1" applyAlignment="1">
      <alignment horizontal="right"/>
    </xf>
    <xf numFmtId="170" fontId="27" fillId="0" borderId="0" xfId="3" applyNumberFormat="1" applyFont="1" applyAlignment="1">
      <alignment horizontal="right"/>
    </xf>
    <xf numFmtId="0" fontId="27" fillId="0" borderId="0" xfId="3" applyFont="1" applyAlignment="1">
      <alignment horizontal="left" indent="2"/>
    </xf>
    <xf numFmtId="170" fontId="22" fillId="0" borderId="0" xfId="10" applyNumberFormat="1" applyFont="1" applyFill="1" applyBorder="1"/>
    <xf numFmtId="170" fontId="27" fillId="0" borderId="0" xfId="10" applyNumberFormat="1" applyFont="1" applyFill="1"/>
    <xf numFmtId="170" fontId="50" fillId="0" borderId="0" xfId="10" applyNumberFormat="1" applyFont="1" applyFill="1"/>
    <xf numFmtId="170" fontId="22" fillId="0" borderId="0" xfId="10" applyNumberFormat="1" applyFont="1" applyFill="1"/>
    <xf numFmtId="0" fontId="18" fillId="0" borderId="0" xfId="3" applyFont="1" applyAlignment="1">
      <alignment horizontal="left"/>
    </xf>
    <xf numFmtId="166" fontId="42" fillId="0" borderId="0" xfId="6" applyNumberFormat="1" applyFont="1" applyFill="1" applyAlignment="1" applyProtection="1">
      <alignment horizontal="left" indent="1"/>
      <protection locked="0"/>
    </xf>
    <xf numFmtId="0" fontId="22" fillId="0" borderId="3" xfId="3" applyFont="1" applyBorder="1"/>
    <xf numFmtId="170" fontId="22" fillId="0" borderId="3" xfId="3" applyNumberFormat="1" applyFont="1" applyBorder="1"/>
    <xf numFmtId="170" fontId="22" fillId="9" borderId="20" xfId="3" applyNumberFormat="1" applyFont="1" applyFill="1" applyBorder="1"/>
    <xf numFmtId="170" fontId="22" fillId="9" borderId="21" xfId="10" applyNumberFormat="1" applyFont="1" applyFill="1" applyBorder="1"/>
    <xf numFmtId="170" fontId="22" fillId="9" borderId="22" xfId="10" applyNumberFormat="1" applyFont="1" applyFill="1" applyBorder="1"/>
    <xf numFmtId="173" fontId="22" fillId="9" borderId="0" xfId="3" applyNumberFormat="1" applyFont="1" applyFill="1"/>
    <xf numFmtId="170" fontId="22" fillId="9" borderId="0" xfId="10" applyNumberFormat="1" applyFont="1" applyFill="1"/>
    <xf numFmtId="179" fontId="27" fillId="9" borderId="0" xfId="10" applyNumberFormat="1" applyFont="1" applyFill="1"/>
    <xf numFmtId="170" fontId="22" fillId="9" borderId="20" xfId="3" applyNumberFormat="1" applyFont="1" applyFill="1" applyBorder="1" applyAlignment="1">
      <alignment horizontal="right" vertical="center"/>
    </xf>
    <xf numFmtId="170" fontId="25" fillId="9" borderId="0" xfId="10" applyNumberFormat="1" applyFont="1" applyFill="1"/>
    <xf numFmtId="170" fontId="49" fillId="9" borderId="0" xfId="3" applyNumberFormat="1" applyFont="1" applyFill="1"/>
    <xf numFmtId="170" fontId="25" fillId="9" borderId="0" xfId="3" applyNumberFormat="1" applyFont="1" applyFill="1"/>
    <xf numFmtId="170" fontId="25" fillId="9" borderId="0" xfId="10" applyNumberFormat="1" applyFont="1" applyFill="1" applyBorder="1"/>
    <xf numFmtId="170" fontId="22" fillId="9" borderId="0" xfId="10" applyNumberFormat="1" applyFont="1" applyFill="1" applyBorder="1" applyAlignment="1">
      <alignment horizontal="right"/>
    </xf>
    <xf numFmtId="170" fontId="18" fillId="9" borderId="23" xfId="3" applyNumberFormat="1" applyFont="1" applyFill="1" applyBorder="1"/>
    <xf numFmtId="179" fontId="22" fillId="9" borderId="22" xfId="3" applyNumberFormat="1" applyFont="1" applyFill="1" applyBorder="1" applyAlignment="1">
      <alignment horizontal="right" vertical="center"/>
    </xf>
    <xf numFmtId="170" fontId="18" fillId="9" borderId="5" xfId="3" applyNumberFormat="1" applyFont="1" applyFill="1" applyBorder="1"/>
    <xf numFmtId="175" fontId="22" fillId="6" borderId="0" xfId="3" applyNumberFormat="1" applyFont="1" applyFill="1" applyAlignment="1">
      <alignment horizontal="center"/>
    </xf>
    <xf numFmtId="175" fontId="22" fillId="9" borderId="21" xfId="3" applyNumberFormat="1" applyFont="1" applyFill="1" applyBorder="1" applyAlignment="1">
      <alignment horizontal="right" vertical="center"/>
    </xf>
    <xf numFmtId="170" fontId="25" fillId="9" borderId="0" xfId="3" applyNumberFormat="1" applyFont="1" applyFill="1" applyAlignment="1">
      <alignment horizontal="right"/>
    </xf>
    <xf numFmtId="179" fontId="27" fillId="0" borderId="0" xfId="3" applyNumberFormat="1" applyFont="1"/>
    <xf numFmtId="170" fontId="25" fillId="0" borderId="0" xfId="3" applyNumberFormat="1" applyFont="1" applyAlignment="1">
      <alignment horizontal="center"/>
    </xf>
    <xf numFmtId="0" fontId="27" fillId="0" borderId="0" xfId="3" applyFont="1" applyAlignment="1">
      <alignment horizontal="center"/>
    </xf>
    <xf numFmtId="178" fontId="27" fillId="0" borderId="0" xfId="3" applyNumberFormat="1" applyFont="1" applyAlignment="1">
      <alignment horizontal="center"/>
    </xf>
    <xf numFmtId="171" fontId="27" fillId="0" borderId="0" xfId="3" applyNumberFormat="1" applyFont="1" applyAlignment="1">
      <alignment horizontal="center"/>
    </xf>
    <xf numFmtId="0" fontId="27" fillId="6" borderId="0" xfId="3" applyFont="1" applyFill="1" applyAlignment="1">
      <alignment horizontal="center"/>
    </xf>
    <xf numFmtId="179" fontId="25" fillId="9" borderId="0" xfId="10" applyNumberFormat="1" applyFont="1" applyFill="1" applyAlignment="1">
      <alignment horizontal="center"/>
    </xf>
    <xf numFmtId="180" fontId="22" fillId="6" borderId="0" xfId="3" applyNumberFormat="1" applyFont="1" applyFill="1" applyAlignment="1">
      <alignment horizontal="center"/>
    </xf>
    <xf numFmtId="180" fontId="49" fillId="9" borderId="0" xfId="11" applyNumberFormat="1" applyFont="1" applyFill="1" applyAlignment="1">
      <alignment horizontal="center"/>
    </xf>
    <xf numFmtId="9" fontId="22" fillId="6" borderId="0" xfId="1" applyFont="1" applyFill="1" applyAlignment="1">
      <alignment horizontal="center"/>
    </xf>
    <xf numFmtId="180" fontId="27" fillId="0" borderId="0" xfId="3" applyNumberFormat="1" applyFont="1" applyAlignment="1">
      <alignment horizontal="center"/>
    </xf>
    <xf numFmtId="0" fontId="3" fillId="0" borderId="0" xfId="3" applyAlignment="1">
      <alignment horizontal="center"/>
    </xf>
    <xf numFmtId="176" fontId="22" fillId="6" borderId="0" xfId="0" applyNumberFormat="1" applyFont="1" applyFill="1" applyAlignment="1">
      <alignment horizontal="center"/>
    </xf>
    <xf numFmtId="170" fontId="22" fillId="6" borderId="0" xfId="3" applyNumberFormat="1" applyFont="1" applyFill="1" applyAlignment="1">
      <alignment horizontal="center"/>
    </xf>
    <xf numFmtId="175" fontId="49" fillId="9" borderId="0" xfId="3" applyNumberFormat="1" applyFont="1" applyFill="1" applyAlignment="1">
      <alignment horizontal="center"/>
    </xf>
    <xf numFmtId="176" fontId="49" fillId="9" borderId="0" xfId="0" applyNumberFormat="1" applyFont="1" applyFill="1" applyAlignment="1">
      <alignment horizontal="center"/>
    </xf>
    <xf numFmtId="179" fontId="49" fillId="9" borderId="0" xfId="10" applyNumberFormat="1" applyFont="1" applyFill="1" applyAlignment="1">
      <alignment horizontal="center"/>
    </xf>
    <xf numFmtId="180" fontId="0" fillId="0" borderId="0" xfId="0" applyNumberFormat="1"/>
    <xf numFmtId="180" fontId="0" fillId="6" borderId="0" xfId="0" applyNumberFormat="1" applyFill="1"/>
    <xf numFmtId="170" fontId="49" fillId="9" borderId="0" xfId="3" applyNumberFormat="1" applyFont="1" applyFill="1" applyAlignment="1">
      <alignment horizontal="center"/>
    </xf>
    <xf numFmtId="180" fontId="49" fillId="9" borderId="0" xfId="3" applyNumberFormat="1" applyFont="1" applyFill="1" applyAlignment="1">
      <alignment horizontal="center"/>
    </xf>
    <xf numFmtId="0" fontId="52" fillId="9" borderId="0" xfId="3" applyFont="1" applyFill="1" applyAlignment="1">
      <alignment horizontal="center"/>
    </xf>
    <xf numFmtId="180" fontId="51" fillId="9" borderId="0" xfId="0" applyNumberFormat="1" applyFont="1" applyFill="1"/>
    <xf numFmtId="170" fontId="27" fillId="9" borderId="0" xfId="3" applyNumberFormat="1" applyFont="1" applyFill="1"/>
    <xf numFmtId="179" fontId="27" fillId="9" borderId="24" xfId="3" applyNumberFormat="1" applyFont="1" applyFill="1" applyBorder="1"/>
    <xf numFmtId="170" fontId="18" fillId="9" borderId="0" xfId="3" applyNumberFormat="1" applyFont="1" applyFill="1"/>
    <xf numFmtId="170" fontId="18" fillId="9" borderId="5" xfId="3" applyNumberFormat="1" applyFont="1" applyFill="1" applyBorder="1" applyAlignment="1">
      <alignment horizontal="right"/>
    </xf>
    <xf numFmtId="170" fontId="18" fillId="9" borderId="17" xfId="3" applyNumberFormat="1" applyFont="1" applyFill="1" applyBorder="1"/>
    <xf numFmtId="170" fontId="27" fillId="9" borderId="20" xfId="3" applyNumberFormat="1" applyFont="1" applyFill="1" applyBorder="1"/>
    <xf numFmtId="170" fontId="27" fillId="9" borderId="22" xfId="3" applyNumberFormat="1" applyFont="1" applyFill="1" applyBorder="1"/>
    <xf numFmtId="170" fontId="22" fillId="9" borderId="5" xfId="3" applyNumberFormat="1" applyFont="1" applyFill="1" applyBorder="1"/>
    <xf numFmtId="170" fontId="19" fillId="9" borderId="5" xfId="3" applyNumberFormat="1" applyFont="1" applyFill="1" applyBorder="1"/>
    <xf numFmtId="170" fontId="0" fillId="0" borderId="0" xfId="0" applyNumberFormat="1"/>
    <xf numFmtId="170" fontId="53" fillId="9" borderId="0" xfId="3" applyNumberFormat="1" applyFont="1" applyFill="1"/>
    <xf numFmtId="170" fontId="41" fillId="9" borderId="0" xfId="3" applyNumberFormat="1" applyFont="1" applyFill="1"/>
    <xf numFmtId="9" fontId="50" fillId="0" borderId="0" xfId="1" applyFont="1"/>
    <xf numFmtId="170" fontId="27" fillId="9" borderId="0" xfId="3" applyNumberFormat="1" applyFont="1" applyFill="1" applyAlignment="1">
      <alignment horizontal="center"/>
    </xf>
    <xf numFmtId="9" fontId="50" fillId="9" borderId="0" xfId="1" applyFont="1" applyFill="1"/>
    <xf numFmtId="170" fontId="0" fillId="9" borderId="0" xfId="0" applyNumberFormat="1" applyFill="1"/>
    <xf numFmtId="0" fontId="54" fillId="0" borderId="0" xfId="3" applyFont="1" applyAlignment="1">
      <alignment horizontal="left" indent="2"/>
    </xf>
    <xf numFmtId="0" fontId="54" fillId="0" borderId="0" xfId="3" applyFont="1" applyAlignment="1">
      <alignment horizontal="left" indent="1"/>
    </xf>
    <xf numFmtId="179" fontId="26" fillId="0" borderId="5" xfId="10" applyNumberFormat="1" applyFont="1" applyFill="1" applyBorder="1"/>
    <xf numFmtId="178" fontId="26" fillId="0" borderId="0" xfId="10" applyNumberFormat="1" applyFont="1" applyFill="1" applyBorder="1"/>
    <xf numFmtId="170" fontId="22" fillId="0" borderId="17" xfId="3" applyNumberFormat="1" applyFont="1" applyBorder="1"/>
    <xf numFmtId="0" fontId="2" fillId="6" borderId="0" xfId="0" applyFont="1" applyFill="1" applyAlignment="1">
      <alignment horizontal="center"/>
    </xf>
    <xf numFmtId="37" fontId="12" fillId="3" borderId="25" xfId="3" applyNumberFormat="1" applyFont="1" applyFill="1" applyBorder="1" applyAlignment="1">
      <alignment horizontal="center" vertical="center"/>
    </xf>
    <xf numFmtId="37" fontId="12" fillId="3" borderId="26" xfId="3" applyNumberFormat="1" applyFont="1" applyFill="1" applyBorder="1" applyAlignment="1">
      <alignment horizontal="center" vertical="center"/>
    </xf>
    <xf numFmtId="37" fontId="12" fillId="3" borderId="27" xfId="3" applyNumberFormat="1" applyFont="1" applyFill="1" applyBorder="1" applyAlignment="1">
      <alignment horizontal="center" vertical="center"/>
    </xf>
    <xf numFmtId="37" fontId="12" fillId="3" borderId="25" xfId="3" applyNumberFormat="1" applyFont="1" applyFill="1" applyBorder="1" applyAlignment="1">
      <alignment horizontal="center" vertical="distributed"/>
    </xf>
    <xf numFmtId="37" fontId="12" fillId="3" borderId="26" xfId="3" applyNumberFormat="1" applyFont="1" applyFill="1" applyBorder="1" applyAlignment="1">
      <alignment horizontal="center" vertical="distributed"/>
    </xf>
    <xf numFmtId="37" fontId="12" fillId="3" borderId="27" xfId="3" applyNumberFormat="1" applyFont="1" applyFill="1" applyBorder="1" applyAlignment="1">
      <alignment horizontal="center" vertical="distributed"/>
    </xf>
  </cellXfs>
  <cellStyles count="12">
    <cellStyle name="Comma 2" xfId="6" xr:uid="{CD4CF8B9-51DC-44C5-8AB6-EDC26AAD04C3}"/>
    <cellStyle name="Comma 3" xfId="7" xr:uid="{7A8BBC80-BF15-41F1-992A-0CD596EB67EE}"/>
    <cellStyle name="Currency" xfId="11" builtinId="4"/>
    <cellStyle name="Hyperlink 2" xfId="4" xr:uid="{F6D2A3FB-9778-4749-BD90-8A8E2F131C31}"/>
    <cellStyle name="Hyperlink 2 2" xfId="5" xr:uid="{29407181-D570-411B-B323-35E75582E515}"/>
    <cellStyle name="Normal" xfId="0" builtinId="0"/>
    <cellStyle name="Normal 2" xfId="3" xr:uid="{0356B456-3B45-41EA-ABAC-BA0996A07613}"/>
    <cellStyle name="Normal 2 2 2" xfId="2" xr:uid="{3CB22D8C-6377-493C-9296-7334AD88AA61}"/>
    <cellStyle name="Normal 3" xfId="8" xr:uid="{E0713C16-50D8-4CA2-8DA4-7B09A62FFBD7}"/>
    <cellStyle name="Normal_Wal-Mart Financial Statements" xfId="9" xr:uid="{8B5D2106-0EAF-42A8-878E-4E8EE983249E}"/>
    <cellStyle name="Percent" xfId="1" builtinId="5"/>
    <cellStyle name="Percent 2" xfId="10" xr:uid="{5074C61C-2E54-432F-91B5-025C3500188C}"/>
  </cellStyles>
  <dxfs count="2"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[1]Sheet1!$B$8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[1]Sheet1!$B$9:$B$16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0-4299-8996-DD32AF353189}"/>
            </c:ext>
          </c:extLst>
        </c:ser>
        <c:ser>
          <c:idx val="1"/>
          <c:order val="1"/>
          <c:tx>
            <c:strRef>
              <c:f>[1]Sheet1!$C$8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[1]Sheet1!$C$9:$C$16</c:f>
              <c:numCache>
                <c:formatCode>General</c:formatCode>
                <c:ptCount val="8"/>
                <c:pt idx="0">
                  <c:v>1175229</c:v>
                </c:pt>
                <c:pt idx="1">
                  <c:v>1418582</c:v>
                </c:pt>
                <c:pt idx="2">
                  <c:v>1529130</c:v>
                </c:pt>
                <c:pt idx="3">
                  <c:v>1636169.1</c:v>
                </c:pt>
                <c:pt idx="4">
                  <c:v>1742520.0915000001</c:v>
                </c:pt>
                <c:pt idx="5">
                  <c:v>1847071.2969900002</c:v>
                </c:pt>
                <c:pt idx="6">
                  <c:v>1948660.2183244501</c:v>
                </c:pt>
                <c:pt idx="7">
                  <c:v>2055836.5303322948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0-4299-8996-DD32AF35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479424"/>
        <c:axId val="1918478944"/>
      </c:barChart>
      <c:lineChart>
        <c:grouping val="standard"/>
        <c:varyColors val="0"/>
        <c:ser>
          <c:idx val="2"/>
          <c:order val="2"/>
          <c:tx>
            <c:strRef>
              <c:f>[1]Sheet1!$D$8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[1]Sheet1!$D$9:$D$16</c:f>
              <c:numCache>
                <c:formatCode>General</c:formatCode>
                <c:ptCount val="8"/>
                <c:pt idx="0">
                  <c:v>9.2593868939585391E-2</c:v>
                </c:pt>
                <c:pt idx="1">
                  <c:v>0.12725242530921724</c:v>
                </c:pt>
                <c:pt idx="2">
                  <c:v>0.12753461118413739</c:v>
                </c:pt>
                <c:pt idx="3">
                  <c:v>0.1288971832435489</c:v>
                </c:pt>
                <c:pt idx="4">
                  <c:v>0.13104603271141105</c:v>
                </c:pt>
                <c:pt idx="5">
                  <c:v>0.12500000000000003</c:v>
                </c:pt>
                <c:pt idx="6">
                  <c:v>0.12299999999999998</c:v>
                </c:pt>
                <c:pt idx="7">
                  <c:v>0.11999999999999993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0-4299-8996-DD32AF353189}"/>
            </c:ext>
          </c:extLst>
        </c:ser>
        <c:ser>
          <c:idx val="3"/>
          <c:order val="3"/>
          <c:tx>
            <c:strRef>
              <c:f>[1]Sheet1!$E$8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[1]Sheet1!$E$9:$E$16</c:f>
              <c:numCache>
                <c:formatCode>General</c:formatCode>
                <c:ptCount val="8"/>
                <c:pt idx="0">
                  <c:v>4.9029593381375032E-2</c:v>
                </c:pt>
                <c:pt idx="1">
                  <c:v>7.7579582992030063E-2</c:v>
                </c:pt>
                <c:pt idx="2">
                  <c:v>7.1421658067005428E-2</c:v>
                </c:pt>
                <c:pt idx="3">
                  <c:v>8.0005446467665234E-2</c:v>
                </c:pt>
                <c:pt idx="4">
                  <c:v>8.1601010855914133E-2</c:v>
                </c:pt>
                <c:pt idx="5">
                  <c:v>7.7131706184207116E-2</c:v>
                </c:pt>
                <c:pt idx="6">
                  <c:v>7.5655841640929714E-2</c:v>
                </c:pt>
                <c:pt idx="7">
                  <c:v>7.3439761505121728E-2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0-4299-8996-DD32AF35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489024"/>
        <c:axId val="1918479904"/>
      </c:lineChart>
      <c:catAx>
        <c:axId val="191847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8478944"/>
        <c:crosses val="autoZero"/>
        <c:auto val="1"/>
        <c:lblAlgn val="ctr"/>
        <c:lblOffset val="100"/>
        <c:noMultiLvlLbl val="0"/>
      </c:catAx>
      <c:valAx>
        <c:axId val="1918478944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8479424"/>
        <c:crosses val="autoZero"/>
        <c:crossBetween val="between"/>
      </c:valAx>
      <c:valAx>
        <c:axId val="1918479904"/>
        <c:scaling>
          <c:orientation val="minMax"/>
          <c:max val="0.3000000000000000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18489024"/>
        <c:crosses val="max"/>
        <c:crossBetween val="between"/>
      </c:valAx>
      <c:catAx>
        <c:axId val="1918489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918479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0"/>
            <a:lumOff val="100000"/>
          </a:schemeClr>
        </a:gs>
        <a:gs pos="35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[1]Sheet1!$C$28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[1]Sheet1!$B$29:$B$36</c:f>
              <c:strCache>
                <c:ptCount val="8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  <c:pt idx="7">
                  <c:v>FY2030</c:v>
                </c:pt>
              </c:strCache>
            </c:strRef>
          </c:cat>
          <c:val>
            <c:numRef>
              <c:f>[1]Sheet1!$C$29:$C$36</c:f>
              <c:numCache>
                <c:formatCode>General</c:formatCode>
                <c:ptCount val="8"/>
                <c:pt idx="0">
                  <c:v>86346</c:v>
                </c:pt>
                <c:pt idx="1">
                  <c:v>157347</c:v>
                </c:pt>
                <c:pt idx="2">
                  <c:v>140502</c:v>
                </c:pt>
                <c:pt idx="3">
                  <c:v>164695.00676241406</c:v>
                </c:pt>
                <c:pt idx="4">
                  <c:v>182980.38413085061</c:v>
                </c:pt>
                <c:pt idx="5">
                  <c:v>185837.78318411086</c:v>
                </c:pt>
                <c:pt idx="6">
                  <c:v>192280.67016522601</c:v>
                </c:pt>
                <c:pt idx="7">
                  <c:v>198401.43408447425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C-4ACF-AE62-7F2B0527CC74}"/>
            </c:ext>
          </c:extLst>
        </c:ser>
        <c:ser>
          <c:idx val="1"/>
          <c:order val="1"/>
          <c:tx>
            <c:strRef>
              <c:f>[1]Sheet1!$D$28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F57A0B"/>
            </a:solidFill>
            <a:ln>
              <a:noFill/>
            </a:ln>
            <a:effectLst/>
          </c:spPr>
          <c:invertIfNegative val="0"/>
          <c:cat>
            <c:strRef>
              <c:f>[1]Sheet1!$B$29:$B$36</c:f>
              <c:strCache>
                <c:ptCount val="8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  <c:pt idx="7">
                  <c:v>FY2030</c:v>
                </c:pt>
              </c:strCache>
            </c:strRef>
          </c:cat>
          <c:val>
            <c:numRef>
              <c:f>[1]Sheet1!$D$29:$D$36</c:f>
              <c:numCache>
                <c:formatCode>General</c:formatCode>
                <c:ptCount val="8"/>
                <c:pt idx="0">
                  <c:v>-61154</c:v>
                </c:pt>
                <c:pt idx="1">
                  <c:v>-67269</c:v>
                </c:pt>
                <c:pt idx="2">
                  <c:v>-83486</c:v>
                </c:pt>
                <c:pt idx="3">
                  <c:v>-70117.360000000044</c:v>
                </c:pt>
                <c:pt idx="4">
                  <c:v>-53726.968399999954</c:v>
                </c:pt>
                <c:pt idx="5">
                  <c:v>-55587.112254000036</c:v>
                </c:pt>
                <c:pt idx="6">
                  <c:v>-57192.30335171998</c:v>
                </c:pt>
                <c:pt idx="7">
                  <c:v>-60337.880036064598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C-4ACF-AE62-7F2B0527CC74}"/>
            </c:ext>
          </c:extLst>
        </c:ser>
        <c:ser>
          <c:idx val="2"/>
          <c:order val="2"/>
          <c:tx>
            <c:strRef>
              <c:f>[1]Sheet1!$E$28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[1]Sheet1!$B$29:$B$36</c:f>
              <c:strCache>
                <c:ptCount val="8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  <c:pt idx="7">
                  <c:v>FY2030</c:v>
                </c:pt>
              </c:strCache>
            </c:strRef>
          </c:cat>
          <c:val>
            <c:numRef>
              <c:f>[1]Sheet1!$E$29:$E$36</c:f>
              <c:numCache>
                <c:formatCode>General</c:formatCode>
                <c:ptCount val="8"/>
                <c:pt idx="0">
                  <c:v>-18125</c:v>
                </c:pt>
                <c:pt idx="1">
                  <c:v>-26125</c:v>
                </c:pt>
                <c:pt idx="2">
                  <c:v>-39627</c:v>
                </c:pt>
                <c:pt idx="3">
                  <c:v>-39268.731802629401</c:v>
                </c:pt>
                <c:pt idx="4">
                  <c:v>-42657.420270941999</c:v>
                </c:pt>
                <c:pt idx="5">
                  <c:v>-42740.328174214512</c:v>
                </c:pt>
                <c:pt idx="6">
                  <c:v>-44228.258666860238</c:v>
                </c:pt>
                <c:pt idx="7">
                  <c:v>-45294.043344336205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C-4ACF-AE62-7F2B0527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4428224"/>
        <c:axId val="1184424384"/>
      </c:barChart>
      <c:lineChart>
        <c:grouping val="standard"/>
        <c:varyColors val="0"/>
        <c:ser>
          <c:idx val="3"/>
          <c:order val="3"/>
          <c:tx>
            <c:v>Change in Cash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[1]Sheet1!$F$29:$F$36</c:f>
              <c:numCache>
                <c:formatCode>General</c:formatCode>
                <c:ptCount val="8"/>
                <c:pt idx="0">
                  <c:v>7067</c:v>
                </c:pt>
                <c:pt idx="1">
                  <c:v>63953</c:v>
                </c:pt>
                <c:pt idx="2">
                  <c:v>17389</c:v>
                </c:pt>
                <c:pt idx="3">
                  <c:v>55308.914959784619</c:v>
                </c:pt>
                <c:pt idx="4">
                  <c:v>86595.995459908649</c:v>
                </c:pt>
                <c:pt idx="5">
                  <c:v>87510.342755896301</c:v>
                </c:pt>
                <c:pt idx="6">
                  <c:v>90860.108146645798</c:v>
                </c:pt>
                <c:pt idx="7">
                  <c:v>92769.510704073444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EC-4ACF-AE62-7F2B0527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428224"/>
        <c:axId val="1184424384"/>
      </c:lineChart>
      <c:catAx>
        <c:axId val="118442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4424384"/>
        <c:crosses val="autoZero"/>
        <c:auto val="1"/>
        <c:lblAlgn val="ctr"/>
        <c:lblOffset val="100"/>
        <c:noMultiLvlLbl val="0"/>
      </c:catAx>
      <c:valAx>
        <c:axId val="1184424384"/>
        <c:scaling>
          <c:orientation val="minMax"/>
          <c:max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4428224"/>
        <c:crosses val="autoZero"/>
        <c:crossBetween val="between"/>
        <c:minorUnit val="10000"/>
      </c:valAx>
      <c:spPr>
        <a:gradFill flip="none" rotWithShape="1">
          <a:gsLst>
            <a:gs pos="0">
              <a:schemeClr val="accent1">
                <a:lumMod val="0"/>
                <a:lumOff val="100000"/>
              </a:schemeClr>
            </a:gs>
            <a:gs pos="35000">
              <a:schemeClr val="accent1">
                <a:lumMod val="0"/>
                <a:lumOff val="100000"/>
              </a:schemeClr>
            </a:gs>
            <a:gs pos="100000">
              <a:schemeClr val="accent1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0"/>
            <a:lumOff val="100000"/>
          </a:schemeClr>
        </a:gs>
        <a:gs pos="35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4</xdr:col>
      <xdr:colOff>160020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123B6-1FEE-468A-BEDE-A3A85F7A0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11</xdr:col>
      <xdr:colOff>266700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41D90F-D9A5-47C1-B9F2-D6859BDA2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313304</xdr:colOff>
      <xdr:row>0</xdr:row>
      <xdr:rowOff>492296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C4EAD-258F-4CB7-AAC6-BCA4AE84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167" y="138154"/>
          <a:ext cx="1211037" cy="3541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MVA\FMVA\3-Statement%20Modelling\Intro%20to%203-Statement%20Modeling%20Model%20(Complete).xlsx" TargetMode="External"/><Relationship Id="rId1" Type="http://schemas.openxmlformats.org/officeDocument/2006/relationships/externalLinkPath" Target="/FMVA/FMVA/3-Statement%20Modelling/Intro%20to%203-Statement%20Modeling%20Model%20(Complete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Model"/>
      <sheetName val="Sheet1"/>
    </sheetNames>
    <sheetDataSet>
      <sheetData sheetId="0"/>
      <sheetData sheetId="1"/>
      <sheetData sheetId="2">
        <row r="8">
          <cell r="B8" t="str">
            <v>Year</v>
          </cell>
          <cell r="C8" t="str">
            <v>Revenue</v>
          </cell>
          <cell r="D8" t="str">
            <v>EBITDA Margin</v>
          </cell>
          <cell r="E8" t="str">
            <v>Net Income Margin</v>
          </cell>
        </row>
        <row r="9">
          <cell r="B9">
            <v>2023</v>
          </cell>
          <cell r="C9">
            <v>1175229</v>
          </cell>
          <cell r="D9">
            <v>9.2593868939585391E-2</v>
          </cell>
          <cell r="E9">
            <v>4.9029593381375032E-2</v>
          </cell>
        </row>
        <row r="10">
          <cell r="B10">
            <v>2024</v>
          </cell>
          <cell r="C10">
            <v>1418582</v>
          </cell>
          <cell r="D10">
            <v>0.12725242530921724</v>
          </cell>
          <cell r="E10">
            <v>7.7579582992030063E-2</v>
          </cell>
        </row>
        <row r="11">
          <cell r="B11">
            <v>2025</v>
          </cell>
          <cell r="C11">
            <v>1529130</v>
          </cell>
          <cell r="D11">
            <v>0.12753461118413739</v>
          </cell>
          <cell r="E11">
            <v>7.1421658067005428E-2</v>
          </cell>
        </row>
        <row r="12">
          <cell r="B12">
            <v>2026</v>
          </cell>
          <cell r="C12">
            <v>1636169.1</v>
          </cell>
          <cell r="D12">
            <v>0.1288971832435489</v>
          </cell>
          <cell r="E12">
            <v>8.0005446467665234E-2</v>
          </cell>
        </row>
        <row r="13">
          <cell r="B13">
            <v>2027</v>
          </cell>
          <cell r="C13">
            <v>1742520.0915000001</v>
          </cell>
          <cell r="D13">
            <v>0.13104603271141105</v>
          </cell>
          <cell r="E13">
            <v>8.1601010855914133E-2</v>
          </cell>
        </row>
        <row r="14">
          <cell r="B14">
            <v>2028</v>
          </cell>
          <cell r="C14">
            <v>1847071.2969900002</v>
          </cell>
          <cell r="D14">
            <v>0.12500000000000003</v>
          </cell>
          <cell r="E14">
            <v>7.7131706184207116E-2</v>
          </cell>
        </row>
        <row r="15">
          <cell r="B15">
            <v>2029</v>
          </cell>
          <cell r="C15">
            <v>1948660.2183244501</v>
          </cell>
          <cell r="D15">
            <v>0.12299999999999998</v>
          </cell>
          <cell r="E15">
            <v>7.5655841640929714E-2</v>
          </cell>
        </row>
        <row r="16">
          <cell r="B16">
            <v>2030</v>
          </cell>
          <cell r="C16">
            <v>2055836.5303322948</v>
          </cell>
          <cell r="D16">
            <v>0.11999999999999993</v>
          </cell>
          <cell r="E16">
            <v>7.3439761505121728E-2</v>
          </cell>
        </row>
        <row r="28">
          <cell r="C28" t="str">
            <v>Operating</v>
          </cell>
          <cell r="D28" t="str">
            <v>Investing</v>
          </cell>
          <cell r="E28" t="str">
            <v>Financing</v>
          </cell>
        </row>
        <row r="29">
          <cell r="B29" t="str">
            <v>FY2023</v>
          </cell>
          <cell r="C29">
            <v>86346</v>
          </cell>
          <cell r="D29">
            <v>-61154</v>
          </cell>
          <cell r="E29">
            <v>-18125</v>
          </cell>
          <cell r="F29">
            <v>7067</v>
          </cell>
        </row>
        <row r="30">
          <cell r="B30" t="str">
            <v>FY2024</v>
          </cell>
          <cell r="C30">
            <v>157347</v>
          </cell>
          <cell r="D30">
            <v>-67269</v>
          </cell>
          <cell r="E30">
            <v>-26125</v>
          </cell>
          <cell r="F30">
            <v>63953</v>
          </cell>
        </row>
        <row r="31">
          <cell r="B31" t="str">
            <v>FY2025</v>
          </cell>
          <cell r="C31">
            <v>140502</v>
          </cell>
          <cell r="D31">
            <v>-83486</v>
          </cell>
          <cell r="E31">
            <v>-39627</v>
          </cell>
          <cell r="F31">
            <v>17389</v>
          </cell>
        </row>
        <row r="32">
          <cell r="B32" t="str">
            <v>FY2026</v>
          </cell>
          <cell r="C32">
            <v>164695.00676241406</v>
          </cell>
          <cell r="D32">
            <v>-70117.360000000044</v>
          </cell>
          <cell r="E32">
            <v>-39268.731802629401</v>
          </cell>
          <cell r="F32">
            <v>55308.914959784619</v>
          </cell>
        </row>
        <row r="33">
          <cell r="B33" t="str">
            <v>FY2027</v>
          </cell>
          <cell r="C33">
            <v>182980.38413085061</v>
          </cell>
          <cell r="D33">
            <v>-53726.968399999954</v>
          </cell>
          <cell r="E33">
            <v>-42657.420270941999</v>
          </cell>
          <cell r="F33">
            <v>86595.995459908649</v>
          </cell>
        </row>
        <row r="34">
          <cell r="B34" t="str">
            <v>FY2028</v>
          </cell>
          <cell r="C34">
            <v>185837.78318411086</v>
          </cell>
          <cell r="D34">
            <v>-55587.112254000036</v>
          </cell>
          <cell r="E34">
            <v>-42740.328174214512</v>
          </cell>
          <cell r="F34">
            <v>87510.342755896301</v>
          </cell>
        </row>
        <row r="35">
          <cell r="B35" t="str">
            <v>FY2029</v>
          </cell>
          <cell r="C35">
            <v>192280.67016522601</v>
          </cell>
          <cell r="D35">
            <v>-57192.30335171998</v>
          </cell>
          <cell r="E35">
            <v>-44228.258666860238</v>
          </cell>
          <cell r="F35">
            <v>90860.108146645798</v>
          </cell>
        </row>
        <row r="36">
          <cell r="B36" t="str">
            <v>FY2030</v>
          </cell>
          <cell r="C36">
            <v>198401.43408447425</v>
          </cell>
          <cell r="D36">
            <v>-60337.880036064598</v>
          </cell>
          <cell r="E36">
            <v>-45294.043344336205</v>
          </cell>
          <cell r="F36">
            <v>92769.510704073444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A478-8467-449E-A49D-0CBBD930141E}">
  <sheetPr>
    <pageSetUpPr autoPageBreaks="0"/>
  </sheetPr>
  <dimension ref="A1:W60"/>
  <sheetViews>
    <sheetView showGridLines="0" tabSelected="1" zoomScale="70" zoomScaleNormal="70" zoomScaleSheetLayoutView="90" workbookViewId="0">
      <selection activeCell="S58" sqref="S58"/>
    </sheetView>
  </sheetViews>
  <sheetFormatPr defaultColWidth="9.109375" defaultRowHeight="15" customHeight="1"/>
  <cols>
    <col min="1" max="1" width="4.6640625" style="4" customWidth="1"/>
    <col min="2" max="2" width="14.6640625" style="4" customWidth="1"/>
    <col min="3" max="3" width="10.6640625" style="4" customWidth="1"/>
    <col min="4" max="4" width="22.6640625" style="4" customWidth="1"/>
    <col min="5" max="7" width="11.6640625" style="4" customWidth="1"/>
    <col min="8" max="8" width="6.6640625" style="4" customWidth="1"/>
    <col min="9" max="9" width="30.88671875" style="4" bestFit="1" customWidth="1"/>
    <col min="10" max="10" width="10.6640625" style="8" customWidth="1"/>
    <col min="11" max="13" width="11.6640625" style="8" customWidth="1"/>
    <col min="14" max="14" width="6.6640625" style="4" customWidth="1"/>
    <col min="15" max="15" width="12.6640625" style="4" customWidth="1"/>
    <col min="16" max="16" width="15.6640625" style="4" customWidth="1"/>
    <col min="17" max="17" width="13.109375" style="4" customWidth="1"/>
    <col min="18" max="21" width="11.6640625" style="4" customWidth="1"/>
    <col min="22" max="22" width="9.109375" style="4"/>
    <col min="23" max="23" width="9.44140625" style="4" bestFit="1" customWidth="1"/>
    <col min="24" max="16384" width="9.109375" style="4"/>
  </cols>
  <sheetData>
    <row r="1" spans="1:21" ht="15" customHeight="1">
      <c r="A1" s="5"/>
      <c r="B1" s="5"/>
      <c r="C1" s="6"/>
      <c r="D1" s="6"/>
      <c r="E1" s="7"/>
      <c r="F1" s="7"/>
      <c r="G1" s="7"/>
      <c r="H1" s="3"/>
    </row>
    <row r="2" spans="1:21" s="14" customFormat="1" ht="15" customHeight="1">
      <c r="A2" s="1"/>
      <c r="B2" s="9" t="s">
        <v>1</v>
      </c>
      <c r="C2" s="10"/>
      <c r="D2" s="10"/>
      <c r="E2" s="11"/>
      <c r="F2" s="11"/>
      <c r="G2" s="11"/>
      <c r="H2" s="1"/>
      <c r="I2" s="9" t="s">
        <v>2</v>
      </c>
      <c r="J2" s="12"/>
      <c r="K2" s="13"/>
      <c r="L2" s="13"/>
      <c r="M2" s="13"/>
      <c r="O2" s="9" t="s">
        <v>3</v>
      </c>
      <c r="P2" s="12"/>
      <c r="Q2" s="13"/>
      <c r="R2" s="13"/>
      <c r="S2" s="13"/>
      <c r="T2" s="13"/>
      <c r="U2" s="13"/>
    </row>
    <row r="3" spans="1:21" s="14" customFormat="1" ht="15" customHeight="1">
      <c r="B3" s="15"/>
      <c r="C3" s="16"/>
      <c r="D3" s="16"/>
      <c r="E3" s="17"/>
      <c r="F3" s="17"/>
      <c r="G3" s="17"/>
      <c r="I3" s="18"/>
      <c r="J3" s="19"/>
      <c r="K3" s="20"/>
      <c r="L3" s="20"/>
      <c r="M3" s="20"/>
      <c r="O3" s="18"/>
      <c r="P3" s="19"/>
      <c r="Q3" s="20"/>
      <c r="R3" s="21"/>
      <c r="S3" s="20"/>
      <c r="T3" s="20"/>
      <c r="U3" s="20"/>
    </row>
    <row r="4" spans="1:21" s="14" customFormat="1" ht="15" customHeight="1" thickBot="1">
      <c r="B4" s="117" t="s">
        <v>56</v>
      </c>
      <c r="C4" s="16"/>
      <c r="D4" s="16"/>
      <c r="E4" s="23">
        <v>2023</v>
      </c>
      <c r="F4" s="23">
        <f t="shared" ref="F4:G4" si="0">E4+1</f>
        <v>2024</v>
      </c>
      <c r="G4" s="23">
        <f t="shared" si="0"/>
        <v>2025</v>
      </c>
      <c r="I4" s="117" t="s">
        <v>56</v>
      </c>
      <c r="J4" s="24"/>
      <c r="K4" s="23">
        <f>E$4</f>
        <v>2023</v>
      </c>
      <c r="L4" s="23">
        <f>F$4</f>
        <v>2024</v>
      </c>
      <c r="M4" s="23">
        <f>G$4</f>
        <v>2025</v>
      </c>
      <c r="O4" s="117" t="s">
        <v>56</v>
      </c>
      <c r="P4" s="24"/>
      <c r="Q4" s="24"/>
      <c r="R4" s="25">
        <f>S4-1</f>
        <v>2022</v>
      </c>
      <c r="S4" s="23">
        <f>E$4</f>
        <v>2023</v>
      </c>
      <c r="T4" s="23">
        <f>F$4</f>
        <v>2024</v>
      </c>
      <c r="U4" s="23">
        <f>G$4</f>
        <v>2025</v>
      </c>
    </row>
    <row r="5" spans="1:21" s="14" customFormat="1" ht="15" customHeight="1">
      <c r="B5" s="22"/>
      <c r="C5" s="16"/>
      <c r="D5" s="16"/>
      <c r="E5" s="26"/>
      <c r="F5" s="26"/>
      <c r="G5" s="26"/>
      <c r="H5" s="3"/>
      <c r="I5" s="22"/>
      <c r="J5" s="24"/>
      <c r="K5" s="27"/>
      <c r="L5" s="27"/>
      <c r="M5" s="27"/>
      <c r="O5" s="22"/>
      <c r="P5" s="24"/>
      <c r="Q5" s="24"/>
      <c r="R5" s="27"/>
      <c r="S5" s="27"/>
      <c r="T5" s="27"/>
      <c r="U5" s="27"/>
    </row>
    <row r="6" spans="1:21" ht="15" customHeight="1">
      <c r="A6" s="14"/>
      <c r="E6" s="28"/>
      <c r="F6" s="28"/>
      <c r="G6" s="28"/>
      <c r="H6" s="29"/>
      <c r="I6" s="30" t="s">
        <v>5</v>
      </c>
      <c r="J6" s="122"/>
      <c r="K6" s="123"/>
      <c r="L6" s="123"/>
      <c r="M6" s="123"/>
      <c r="N6" s="26"/>
      <c r="O6" s="30" t="s">
        <v>6</v>
      </c>
      <c r="P6" s="52"/>
      <c r="Q6" s="123"/>
      <c r="R6" s="28"/>
      <c r="S6" s="123"/>
      <c r="T6" s="83"/>
      <c r="U6" s="83"/>
    </row>
    <row r="7" spans="1:21" ht="15" customHeight="1">
      <c r="A7" s="14"/>
      <c r="B7" s="35" t="s">
        <v>7</v>
      </c>
      <c r="C7" s="36"/>
      <c r="D7" s="36"/>
      <c r="E7" s="37">
        <v>1175229</v>
      </c>
      <c r="F7" s="37">
        <v>1418582</v>
      </c>
      <c r="G7" s="37">
        <v>1529130</v>
      </c>
      <c r="H7" s="28"/>
      <c r="I7" s="51" t="s">
        <v>57</v>
      </c>
      <c r="J7" s="118"/>
      <c r="K7" s="47">
        <v>101591</v>
      </c>
      <c r="L7" s="47">
        <v>170404</v>
      </c>
      <c r="M7" s="47">
        <v>191832</v>
      </c>
      <c r="N7" s="28"/>
      <c r="O7" s="44" t="s">
        <v>95</v>
      </c>
      <c r="P7" s="52"/>
      <c r="Q7" s="123"/>
      <c r="R7" s="28"/>
      <c r="S7" s="123"/>
      <c r="T7" s="83"/>
      <c r="U7" s="83"/>
    </row>
    <row r="8" spans="1:21" s="1" customFormat="1" ht="15" customHeight="1">
      <c r="B8" s="35" t="s">
        <v>10</v>
      </c>
      <c r="C8" s="36"/>
      <c r="D8" s="36"/>
      <c r="E8" s="42">
        <v>-862435</v>
      </c>
      <c r="F8" s="42">
        <v>-997409</v>
      </c>
      <c r="G8" s="42">
        <v>-1074908</v>
      </c>
      <c r="H8" s="29"/>
      <c r="I8" s="120" t="s">
        <v>59</v>
      </c>
      <c r="J8" s="118"/>
      <c r="K8" s="47"/>
      <c r="L8" s="47"/>
      <c r="M8" s="47"/>
      <c r="N8" s="28"/>
      <c r="O8" s="35" t="s">
        <v>9</v>
      </c>
      <c r="P8" s="39"/>
      <c r="Q8" s="121"/>
      <c r="R8" s="41"/>
      <c r="S8" s="124">
        <f>K59</f>
        <v>334</v>
      </c>
      <c r="T8" s="124">
        <f>L59</f>
        <v>4557</v>
      </c>
      <c r="U8" s="40">
        <f>M59</f>
        <v>780</v>
      </c>
    </row>
    <row r="9" spans="1:21" s="1" customFormat="1" ht="15" customHeight="1">
      <c r="B9" s="44" t="s">
        <v>13</v>
      </c>
      <c r="C9" s="45"/>
      <c r="D9" s="121"/>
      <c r="E9" s="50">
        <f>SUM(E7:E8)</f>
        <v>312794</v>
      </c>
      <c r="F9" s="50">
        <f t="shared" ref="F9:G9" si="1">SUM(F7:F8)</f>
        <v>421173</v>
      </c>
      <c r="G9" s="50">
        <f t="shared" si="1"/>
        <v>454222</v>
      </c>
      <c r="H9" s="29"/>
      <c r="I9" s="51" t="s">
        <v>60</v>
      </c>
      <c r="J9" s="118"/>
      <c r="K9" s="47">
        <v>28233</v>
      </c>
      <c r="L9" s="47">
        <v>30223</v>
      </c>
      <c r="M9" s="47">
        <v>31593</v>
      </c>
      <c r="N9" s="28"/>
      <c r="O9" s="35" t="s">
        <v>15</v>
      </c>
      <c r="P9" s="39"/>
      <c r="Q9" s="121"/>
      <c r="R9" s="41">
        <v>35331</v>
      </c>
      <c r="S9" s="124">
        <v>42838</v>
      </c>
      <c r="T9" s="124">
        <v>41196</v>
      </c>
      <c r="U9" s="124">
        <v>51230</v>
      </c>
    </row>
    <row r="10" spans="1:21" s="1" customFormat="1" ht="15" customHeight="1">
      <c r="B10" s="48"/>
      <c r="C10" s="49"/>
      <c r="D10" s="125"/>
      <c r="E10" s="50"/>
      <c r="F10" s="50"/>
      <c r="G10" s="50"/>
      <c r="H10" s="29"/>
      <c r="I10" s="51" t="s">
        <v>61</v>
      </c>
      <c r="J10" s="118"/>
      <c r="K10" s="60">
        <v>1866</v>
      </c>
      <c r="L10" s="47">
        <v>1932</v>
      </c>
      <c r="M10" s="47">
        <v>1931</v>
      </c>
      <c r="N10" s="28"/>
      <c r="O10" s="35" t="s">
        <v>58</v>
      </c>
      <c r="P10" s="39"/>
      <c r="Q10" s="121"/>
      <c r="R10" s="41">
        <v>20301</v>
      </c>
      <c r="S10" s="124">
        <v>32958</v>
      </c>
      <c r="T10" s="124">
        <v>46013</v>
      </c>
      <c r="U10" s="124">
        <v>65377</v>
      </c>
    </row>
    <row r="11" spans="1:21" s="1" customFormat="1" ht="15" customHeight="1">
      <c r="A11" s="14"/>
      <c r="B11" s="35"/>
      <c r="C11" s="54"/>
      <c r="D11" s="126"/>
      <c r="E11" s="55"/>
      <c r="F11" s="55"/>
      <c r="G11" s="55"/>
      <c r="H11" s="127"/>
      <c r="I11" s="51" t="s">
        <v>62</v>
      </c>
      <c r="J11" s="118"/>
      <c r="K11" s="47">
        <v>-1852</v>
      </c>
      <c r="L11" s="47">
        <v>-984</v>
      </c>
      <c r="M11" s="47">
        <v>-1475</v>
      </c>
      <c r="N11" s="28"/>
      <c r="O11" s="35" t="s">
        <v>99</v>
      </c>
      <c r="P11" s="39"/>
      <c r="Q11" s="121"/>
      <c r="R11" s="41"/>
      <c r="S11" s="124" t="s">
        <v>100</v>
      </c>
      <c r="T11" s="124">
        <v>39122</v>
      </c>
      <c r="U11" s="124">
        <v>55604</v>
      </c>
    </row>
    <row r="12" spans="1:21" s="1" customFormat="1" ht="15" customHeight="1">
      <c r="A12" s="14"/>
      <c r="B12" s="35" t="s">
        <v>20</v>
      </c>
      <c r="C12" s="59"/>
      <c r="D12" s="128"/>
      <c r="E12" s="37">
        <v>-203975</v>
      </c>
      <c r="F12" s="37">
        <v>-240655</v>
      </c>
      <c r="G12" s="37">
        <v>-259205</v>
      </c>
      <c r="H12" s="28"/>
      <c r="I12" s="51" t="s">
        <v>63</v>
      </c>
      <c r="J12" s="118"/>
      <c r="K12" s="47">
        <v>-268</v>
      </c>
      <c r="L12" s="47">
        <v>-658</v>
      </c>
      <c r="M12" s="47">
        <v>-524</v>
      </c>
      <c r="N12" s="61"/>
      <c r="O12" s="35" t="s">
        <v>98</v>
      </c>
      <c r="S12" s="124">
        <v>39869</v>
      </c>
      <c r="T12" s="124">
        <v>46736</v>
      </c>
      <c r="U12" s="124">
        <v>59531</v>
      </c>
    </row>
    <row r="13" spans="1:21" s="1" customFormat="1" ht="15" customHeight="1" thickBot="1">
      <c r="B13" s="44" t="s">
        <v>24</v>
      </c>
      <c r="C13" s="45"/>
      <c r="D13" s="121"/>
      <c r="E13" s="50">
        <f>SUM(E9:E12)</f>
        <v>108819</v>
      </c>
      <c r="F13" s="50">
        <f>SUM(F9:F12)</f>
        <v>180518</v>
      </c>
      <c r="G13" s="50">
        <f>SUM(G9:G12)</f>
        <v>195017</v>
      </c>
      <c r="H13" s="26"/>
      <c r="I13" s="51" t="s">
        <v>64</v>
      </c>
      <c r="J13" s="118"/>
      <c r="K13" s="47">
        <v>115</v>
      </c>
      <c r="L13" s="47">
        <v>481</v>
      </c>
      <c r="M13" s="47">
        <v>405</v>
      </c>
      <c r="N13" s="28"/>
      <c r="O13" s="44" t="s">
        <v>96</v>
      </c>
      <c r="P13" s="39"/>
      <c r="Q13" s="121"/>
      <c r="R13" s="41"/>
      <c r="S13" s="129">
        <f>SUM(S8:S12)</f>
        <v>115999</v>
      </c>
      <c r="T13" s="129">
        <f>SUM(T8:T12)</f>
        <v>177624</v>
      </c>
      <c r="U13" s="129">
        <f>SUM(U8:U12)</f>
        <v>232522</v>
      </c>
    </row>
    <row r="14" spans="1:21" s="1" customFormat="1" ht="15" customHeight="1">
      <c r="B14" s="48"/>
      <c r="C14" s="49"/>
      <c r="D14" s="125"/>
      <c r="E14" s="50"/>
      <c r="F14" s="50"/>
      <c r="G14" s="50"/>
      <c r="H14" s="28"/>
      <c r="I14" s="51" t="s">
        <v>65</v>
      </c>
      <c r="J14" s="118"/>
      <c r="K14" s="47">
        <v>-1809</v>
      </c>
      <c r="L14" s="47">
        <v>-901</v>
      </c>
      <c r="M14" s="47">
        <v>-1060</v>
      </c>
      <c r="N14" s="28"/>
      <c r="O14" s="44"/>
      <c r="P14" s="39"/>
      <c r="Q14" s="121"/>
      <c r="R14" s="41"/>
      <c r="S14" s="40"/>
      <c r="T14" s="40"/>
      <c r="U14" s="40"/>
    </row>
    <row r="15" spans="1:21" s="1" customFormat="1" ht="15" customHeight="1">
      <c r="B15" s="35"/>
      <c r="C15" s="54"/>
      <c r="D15" s="126"/>
      <c r="E15" s="50"/>
      <c r="F15" s="50"/>
      <c r="G15" s="50"/>
      <c r="H15" s="28"/>
      <c r="I15" s="51" t="s">
        <v>66</v>
      </c>
      <c r="J15" s="118"/>
      <c r="K15" s="47">
        <v>-17279</v>
      </c>
      <c r="L15" s="47">
        <v>-36005</v>
      </c>
      <c r="M15" s="47">
        <v>-43748</v>
      </c>
      <c r="N15" s="28"/>
      <c r="O15" s="44" t="s">
        <v>97</v>
      </c>
      <c r="P15" s="39"/>
      <c r="Q15" s="121"/>
      <c r="R15" s="41"/>
      <c r="S15" s="40"/>
      <c r="T15" s="40"/>
      <c r="U15" s="40"/>
    </row>
    <row r="16" spans="1:21" s="1" customFormat="1" ht="15" customHeight="1">
      <c r="A16" s="14"/>
      <c r="B16" s="35" t="s">
        <v>11</v>
      </c>
      <c r="C16" s="59"/>
      <c r="D16" s="128"/>
      <c r="E16" s="42">
        <v>-28233</v>
      </c>
      <c r="F16" s="42">
        <v>-30223</v>
      </c>
      <c r="G16" s="42">
        <v>-31593</v>
      </c>
      <c r="H16" s="130"/>
      <c r="I16" s="51" t="s">
        <v>67</v>
      </c>
      <c r="J16" s="118"/>
      <c r="K16" s="47">
        <v>209</v>
      </c>
      <c r="L16" s="47">
        <v>-42</v>
      </c>
      <c r="M16" s="47">
        <v>40</v>
      </c>
      <c r="N16" s="28"/>
      <c r="O16" s="35" t="s">
        <v>17</v>
      </c>
      <c r="P16" s="39"/>
      <c r="Q16" s="121"/>
      <c r="R16" s="41"/>
      <c r="S16" s="124">
        <v>166666</v>
      </c>
      <c r="T16" s="124">
        <v>174314</v>
      </c>
      <c r="U16" s="124">
        <v>236382</v>
      </c>
    </row>
    <row r="17" spans="1:23" s="1" customFormat="1" ht="15" customHeight="1">
      <c r="B17" s="44" t="s">
        <v>30</v>
      </c>
      <c r="C17" s="45"/>
      <c r="D17" s="121"/>
      <c r="E17" s="50">
        <f>SUM(E13:E16)</f>
        <v>80586</v>
      </c>
      <c r="F17" s="50">
        <f t="shared" ref="F17:G17" si="2">SUM(F13:F16)</f>
        <v>150295</v>
      </c>
      <c r="G17" s="50">
        <f t="shared" si="2"/>
        <v>163424</v>
      </c>
      <c r="H17" s="28"/>
      <c r="I17" s="119" t="s">
        <v>23</v>
      </c>
      <c r="J17" s="121"/>
      <c r="K17" s="75">
        <f>SUM(K7:K16)</f>
        <v>110806</v>
      </c>
      <c r="L17" s="75">
        <f>SUM(L7:L16)</f>
        <v>164450</v>
      </c>
      <c r="M17" s="75">
        <f>SUM(M7:M16)</f>
        <v>178994</v>
      </c>
      <c r="N17" s="26"/>
      <c r="O17" s="35" t="s">
        <v>101</v>
      </c>
      <c r="P17" s="39"/>
      <c r="Q17" s="121"/>
      <c r="R17" s="41"/>
      <c r="S17" s="124">
        <v>5904</v>
      </c>
      <c r="T17" s="124">
        <v>6129</v>
      </c>
      <c r="U17" s="124">
        <v>5858</v>
      </c>
    </row>
    <row r="18" spans="1:23" s="1" customFormat="1" ht="15" customHeight="1">
      <c r="H18" s="29"/>
      <c r="I18" s="29" t="s">
        <v>69</v>
      </c>
      <c r="J18" s="131"/>
      <c r="K18" s="47">
        <v>3787</v>
      </c>
      <c r="L18" s="47">
        <v>22777</v>
      </c>
      <c r="M18" s="47">
        <v>-1052</v>
      </c>
      <c r="N18" s="28"/>
      <c r="O18" s="35" t="s">
        <v>102</v>
      </c>
      <c r="P18" s="39"/>
      <c r="Q18" s="121"/>
      <c r="R18" s="41"/>
      <c r="S18" s="124">
        <v>28081</v>
      </c>
      <c r="T18" s="124">
        <v>63034</v>
      </c>
      <c r="U18" s="124">
        <v>53575</v>
      </c>
    </row>
    <row r="19" spans="1:23" s="1" customFormat="1" ht="15" customHeight="1">
      <c r="B19" s="35"/>
      <c r="C19" s="54"/>
      <c r="D19" s="126"/>
      <c r="E19" s="72"/>
      <c r="F19" s="72"/>
      <c r="G19" s="72"/>
      <c r="H19" s="26"/>
      <c r="I19" s="132" t="s">
        <v>68</v>
      </c>
      <c r="J19" s="131"/>
      <c r="K19" s="75">
        <f>K17+K18</f>
        <v>114593</v>
      </c>
      <c r="L19" s="75">
        <f t="shared" ref="L19:M19" si="3">L17+L18</f>
        <v>187227</v>
      </c>
      <c r="M19" s="75">
        <f t="shared" si="3"/>
        <v>177942</v>
      </c>
      <c r="N19" s="28"/>
      <c r="O19" s="35" t="s">
        <v>103</v>
      </c>
      <c r="P19" s="39"/>
      <c r="Q19" s="121"/>
      <c r="R19" s="41"/>
      <c r="S19" s="124">
        <v>5479</v>
      </c>
      <c r="T19" s="124">
        <v>4510</v>
      </c>
      <c r="U19" s="124">
        <v>4828</v>
      </c>
    </row>
    <row r="20" spans="1:23" s="1" customFormat="1" ht="15" customHeight="1">
      <c r="A20" s="14"/>
      <c r="B20" s="35" t="s">
        <v>34</v>
      </c>
      <c r="C20" s="59"/>
      <c r="D20" s="128"/>
      <c r="E20" s="42">
        <v>-1866</v>
      </c>
      <c r="F20" s="42">
        <v>-1932</v>
      </c>
      <c r="G20" s="42">
        <v>-1931</v>
      </c>
      <c r="H20" s="28"/>
      <c r="I20" t="s">
        <v>70</v>
      </c>
      <c r="J20" s="131"/>
      <c r="K20" s="47">
        <v>-22313</v>
      </c>
      <c r="L20" s="47">
        <v>-35557</v>
      </c>
      <c r="M20" s="47">
        <v>-37818</v>
      </c>
      <c r="N20" s="28"/>
      <c r="O20" s="35" t="s">
        <v>104</v>
      </c>
      <c r="P20" s="39"/>
      <c r="Q20" s="121"/>
      <c r="R20" s="41"/>
      <c r="S20">
        <v>889</v>
      </c>
      <c r="T20" s="124">
        <v>2305</v>
      </c>
      <c r="U20" s="124">
        <v>4018</v>
      </c>
    </row>
    <row r="21" spans="1:23" s="1" customFormat="1" ht="15" customHeight="1">
      <c r="B21" s="44" t="s">
        <v>36</v>
      </c>
      <c r="C21" s="45"/>
      <c r="D21" s="121"/>
      <c r="E21" s="50">
        <f>SUM(E17:E20)</f>
        <v>78720</v>
      </c>
      <c r="F21" s="50">
        <f t="shared" ref="F21:G21" si="4">SUM(F17:F20)</f>
        <v>148363</v>
      </c>
      <c r="G21" s="50">
        <f t="shared" si="4"/>
        <v>161493</v>
      </c>
      <c r="H21" s="28"/>
      <c r="I21" s="132" t="s">
        <v>71</v>
      </c>
      <c r="J21" s="131"/>
      <c r="K21" s="75">
        <f>SUM(K19:K20)</f>
        <v>92280</v>
      </c>
      <c r="L21" s="75">
        <f t="shared" ref="L21:M21" si="5">SUM(L19:L20)</f>
        <v>151670</v>
      </c>
      <c r="M21" s="75">
        <f t="shared" si="5"/>
        <v>140124</v>
      </c>
      <c r="N21" s="28"/>
      <c r="O21" s="35" t="s">
        <v>99</v>
      </c>
      <c r="P21" s="39"/>
      <c r="Q21" s="121"/>
      <c r="R21" s="41"/>
      <c r="S21" s="124">
        <v>477564</v>
      </c>
      <c r="T21" s="124">
        <v>646015</v>
      </c>
      <c r="U21" s="124">
        <v>689459</v>
      </c>
    </row>
    <row r="22" spans="1:23" s="1" customFormat="1" ht="15" customHeight="1">
      <c r="B22" s="48"/>
      <c r="C22" s="49"/>
      <c r="D22" s="125"/>
      <c r="E22" s="50"/>
      <c r="F22" s="50"/>
      <c r="G22" s="50"/>
      <c r="H22" s="28"/>
      <c r="I22"/>
      <c r="J22" s="131"/>
      <c r="K22" s="40"/>
      <c r="L22" s="64"/>
      <c r="M22" s="65"/>
      <c r="N22" s="28"/>
      <c r="O22" s="35" t="s">
        <v>105</v>
      </c>
      <c r="P22" s="39"/>
      <c r="Q22" s="121"/>
      <c r="R22" s="41"/>
      <c r="S22" s="40">
        <v>2</v>
      </c>
      <c r="T22">
        <v>1</v>
      </c>
      <c r="U22">
        <v>1</v>
      </c>
    </row>
    <row r="23" spans="1:23" s="1" customFormat="1" ht="15" customHeight="1">
      <c r="A23" s="14"/>
      <c r="B23" s="48"/>
      <c r="D23" s="110"/>
      <c r="E23" s="28"/>
      <c r="F23" s="28"/>
      <c r="G23" s="28"/>
      <c r="H23" s="29"/>
      <c r="I23" s="30" t="s">
        <v>26</v>
      </c>
      <c r="J23" s="131"/>
      <c r="K23" s="40"/>
      <c r="L23" s="64"/>
      <c r="M23" s="64"/>
      <c r="N23" s="28"/>
      <c r="O23" s="35" t="s">
        <v>106</v>
      </c>
      <c r="P23" s="39"/>
      <c r="Q23" s="121"/>
      <c r="R23" s="41"/>
      <c r="S23" s="124">
        <v>580</v>
      </c>
      <c r="T23">
        <v>822</v>
      </c>
      <c r="U23">
        <v>871</v>
      </c>
    </row>
    <row r="24" spans="1:23" s="1" customFormat="1" ht="15" customHeight="1">
      <c r="A24" s="14"/>
      <c r="B24" s="35" t="s">
        <v>41</v>
      </c>
      <c r="C24" s="59"/>
      <c r="D24" s="128"/>
      <c r="E24" s="37">
        <v>-22475</v>
      </c>
      <c r="F24" s="37">
        <v>-36311</v>
      </c>
      <c r="G24" s="37">
        <v>-38418</v>
      </c>
      <c r="H24" s="120"/>
      <c r="I24" s="51" t="s">
        <v>72</v>
      </c>
      <c r="J24" s="131"/>
      <c r="K24" s="40">
        <v>-61154</v>
      </c>
      <c r="L24" s="40">
        <v>-67269</v>
      </c>
      <c r="M24" s="40">
        <v>-83486</v>
      </c>
      <c r="N24" s="28"/>
      <c r="O24" s="35" t="s">
        <v>107</v>
      </c>
      <c r="P24" s="39"/>
      <c r="Q24" s="121"/>
      <c r="R24" s="41"/>
      <c r="S24" s="124">
        <v>5729</v>
      </c>
      <c r="T24" s="124">
        <v>5439</v>
      </c>
      <c r="U24" s="124">
        <v>4743</v>
      </c>
    </row>
    <row r="25" spans="1:23" s="1" customFormat="1" ht="15" customHeight="1">
      <c r="A25" s="14"/>
      <c r="B25" s="35" t="s">
        <v>14</v>
      </c>
      <c r="C25" s="59"/>
      <c r="D25" s="128"/>
      <c r="E25" s="42">
        <v>1376</v>
      </c>
      <c r="F25" s="42">
        <v>-1999</v>
      </c>
      <c r="G25" s="42">
        <v>-13862</v>
      </c>
      <c r="H25" s="29"/>
      <c r="I25" s="51" t="s">
        <v>73</v>
      </c>
      <c r="J25" s="131"/>
      <c r="K25" s="40">
        <v>987</v>
      </c>
      <c r="L25" s="40">
        <v>440</v>
      </c>
      <c r="M25">
        <v>326</v>
      </c>
      <c r="N25" s="28"/>
      <c r="O25" s="35" t="s">
        <v>108</v>
      </c>
      <c r="P25" s="39"/>
      <c r="Q25" s="121"/>
      <c r="R25" s="41"/>
      <c r="S25" s="124">
        <v>3411</v>
      </c>
      <c r="T25" s="124">
        <v>1124</v>
      </c>
      <c r="U25" s="133" t="s">
        <v>93</v>
      </c>
    </row>
    <row r="26" spans="1:23" s="1" customFormat="1" ht="15" customHeight="1">
      <c r="B26" s="35" t="s">
        <v>45</v>
      </c>
      <c r="C26" s="45"/>
      <c r="D26" s="121"/>
      <c r="E26" s="50">
        <f>SUM(E24:E25)</f>
        <v>-21099</v>
      </c>
      <c r="F26" s="50">
        <f>SUM(F24:F25)</f>
        <v>-38310</v>
      </c>
      <c r="G26" s="50">
        <f>SUM(G24:G25)</f>
        <v>-52280</v>
      </c>
      <c r="H26" s="28"/>
      <c r="I26" s="51" t="s">
        <v>74</v>
      </c>
      <c r="J26" s="131"/>
      <c r="K26" s="40">
        <v>-638275</v>
      </c>
      <c r="L26" s="40">
        <v>-660967</v>
      </c>
      <c r="M26" s="40">
        <v>-619695</v>
      </c>
      <c r="N26" s="28"/>
      <c r="O26" s="35" t="s">
        <v>109</v>
      </c>
      <c r="P26" s="39"/>
      <c r="Q26" s="121"/>
      <c r="R26" s="41"/>
      <c r="S26" s="124">
        <v>21483</v>
      </c>
      <c r="T26" s="124">
        <v>21531</v>
      </c>
      <c r="U26" s="124">
        <v>23945</v>
      </c>
      <c r="W26" s="156"/>
    </row>
    <row r="27" spans="1:23" s="1" customFormat="1" ht="15" customHeight="1" thickBot="1">
      <c r="B27" s="35" t="s">
        <v>132</v>
      </c>
      <c r="D27" s="110"/>
      <c r="E27" s="146">
        <v>0.26800000000000002</v>
      </c>
      <c r="F27" s="146">
        <v>0.25800000000000001</v>
      </c>
      <c r="G27" s="146">
        <v>0.32400000000000001</v>
      </c>
      <c r="H27" s="29"/>
      <c r="I27" s="51" t="s">
        <v>75</v>
      </c>
      <c r="J27" s="131"/>
      <c r="K27" s="40">
        <v>616054</v>
      </c>
      <c r="L27" s="40">
        <v>619327</v>
      </c>
      <c r="M27" s="124">
        <v>598444</v>
      </c>
      <c r="N27" s="26"/>
      <c r="O27" s="44" t="s">
        <v>110</v>
      </c>
      <c r="P27" s="52"/>
      <c r="Q27" s="121"/>
      <c r="R27" s="129">
        <f>SUM(R7:R26)</f>
        <v>55632</v>
      </c>
      <c r="S27" s="129">
        <f>SUM(S16:S26)</f>
        <v>715788</v>
      </c>
      <c r="T27" s="129">
        <f>SUM(T16:T26)</f>
        <v>925224</v>
      </c>
      <c r="U27" s="129">
        <f>SUM(U16:U26)</f>
        <v>1023680</v>
      </c>
      <c r="W27" s="155"/>
    </row>
    <row r="28" spans="1:23" s="1" customFormat="1" ht="15" customHeight="1" thickBot="1">
      <c r="B28" s="35"/>
      <c r="D28" s="110"/>
      <c r="E28" s="28"/>
      <c r="F28" s="28"/>
      <c r="G28" s="28"/>
      <c r="H28" s="134"/>
      <c r="I28" s="51" t="s">
        <v>76</v>
      </c>
      <c r="J28" s="131"/>
      <c r="K28" s="40">
        <v>1938</v>
      </c>
      <c r="L28" s="40">
        <v>983</v>
      </c>
      <c r="M28" s="124">
        <v>1472</v>
      </c>
      <c r="N28" s="28"/>
      <c r="O28" s="44" t="s">
        <v>19</v>
      </c>
      <c r="P28" s="56"/>
      <c r="Q28" s="121"/>
      <c r="R28" s="129">
        <f>SUM(R8:R27)</f>
        <v>111264</v>
      </c>
      <c r="S28" s="129">
        <f>S13+S27</f>
        <v>831787</v>
      </c>
      <c r="T28" s="129">
        <f>T13+T27</f>
        <v>1102848</v>
      </c>
      <c r="U28" s="129">
        <f>U13+U27</f>
        <v>1256202</v>
      </c>
    </row>
    <row r="29" spans="1:23" s="1" customFormat="1" ht="15" customHeight="1" thickBot="1">
      <c r="A29" s="14"/>
      <c r="B29" s="44" t="s">
        <v>8</v>
      </c>
      <c r="C29" s="45"/>
      <c r="D29" s="121"/>
      <c r="E29" s="135">
        <f>E21+E26</f>
        <v>57621</v>
      </c>
      <c r="F29" s="135">
        <f>F21+F26</f>
        <v>110053</v>
      </c>
      <c r="G29" s="135">
        <f>G21+G26</f>
        <v>109213</v>
      </c>
      <c r="H29" s="130"/>
      <c r="I29" s="51" t="s">
        <v>77</v>
      </c>
      <c r="J29" s="131"/>
      <c r="K29" s="40">
        <v>268</v>
      </c>
      <c r="L29" s="40">
        <v>658</v>
      </c>
      <c r="M29">
        <v>524</v>
      </c>
      <c r="N29" s="28"/>
      <c r="Q29" s="110"/>
      <c r="W29" s="157"/>
    </row>
    <row r="30" spans="1:23" s="1" customFormat="1" ht="15" customHeight="1">
      <c r="E30" s="78"/>
      <c r="F30" s="78"/>
      <c r="G30" s="78"/>
      <c r="H30" s="130"/>
      <c r="I30" s="51" t="s">
        <v>78</v>
      </c>
      <c r="J30"/>
      <c r="K30" s="40">
        <v>0</v>
      </c>
      <c r="L30" s="40">
        <v>0</v>
      </c>
      <c r="M30" s="40">
        <v>0</v>
      </c>
      <c r="N30" s="28"/>
      <c r="O30" s="30" t="s">
        <v>25</v>
      </c>
      <c r="P30" s="39"/>
      <c r="Q30" s="136"/>
      <c r="R30" s="64"/>
      <c r="S30" s="64"/>
      <c r="T30" s="64"/>
      <c r="U30" s="64"/>
    </row>
    <row r="31" spans="1:23" s="1" customFormat="1" ht="15" customHeight="1">
      <c r="A31" s="84"/>
      <c r="B31" s="35" t="s">
        <v>133</v>
      </c>
      <c r="C31" s="49"/>
      <c r="D31" s="125"/>
      <c r="E31" s="50">
        <f>E17*(1-E27)</f>
        <v>58988.951999999997</v>
      </c>
      <c r="F31" s="50">
        <f>F17*(1-F27)</f>
        <v>111518.89</v>
      </c>
      <c r="G31" s="50">
        <f>G17*(1-G27)</f>
        <v>110474.624</v>
      </c>
      <c r="H31" s="28"/>
      <c r="I31" s="51" t="s">
        <v>80</v>
      </c>
      <c r="J31"/>
      <c r="K31" s="40">
        <v>0</v>
      </c>
      <c r="L31" s="40">
        <v>0</v>
      </c>
      <c r="M31" s="40">
        <v>0</v>
      </c>
      <c r="N31" s="28"/>
      <c r="O31" s="30" t="s">
        <v>111</v>
      </c>
      <c r="P31" s="39"/>
      <c r="Q31" s="136"/>
      <c r="R31" s="64"/>
      <c r="S31" s="64"/>
      <c r="T31" s="64"/>
      <c r="U31" s="64"/>
    </row>
    <row r="32" spans="1:23" ht="15" customHeight="1">
      <c r="A32" s="1"/>
      <c r="B32" s="4" t="s">
        <v>134</v>
      </c>
      <c r="E32" s="147">
        <v>617982</v>
      </c>
      <c r="F32" s="147">
        <v>838473</v>
      </c>
      <c r="G32" s="147">
        <v>942476</v>
      </c>
      <c r="I32" s="51" t="s">
        <v>81</v>
      </c>
      <c r="J32"/>
      <c r="K32" s="40">
        <v>0</v>
      </c>
      <c r="L32" s="40">
        <v>0</v>
      </c>
      <c r="M32" s="40">
        <v>0</v>
      </c>
      <c r="O32" s="35" t="s">
        <v>112</v>
      </c>
      <c r="P32" s="39"/>
      <c r="Q32" s="136"/>
      <c r="R32" s="64"/>
      <c r="S32" s="124">
        <v>12158</v>
      </c>
      <c r="T32" s="64">
        <v>331</v>
      </c>
      <c r="U32" s="133" t="s">
        <v>100</v>
      </c>
    </row>
    <row r="33" spans="1:21" ht="15" customHeight="1">
      <c r="A33" s="1"/>
      <c r="B33" s="88"/>
      <c r="C33" s="88"/>
      <c r="D33" s="88"/>
      <c r="E33" s="88"/>
      <c r="F33" s="88"/>
      <c r="G33" s="88"/>
      <c r="I33" s="51" t="s">
        <v>82</v>
      </c>
      <c r="J33"/>
      <c r="K33" s="40">
        <v>0</v>
      </c>
      <c r="L33" s="40">
        <v>0</v>
      </c>
      <c r="M33" s="40">
        <v>0</v>
      </c>
      <c r="O33" s="35" t="s">
        <v>113</v>
      </c>
      <c r="P33" s="39"/>
      <c r="Q33" s="136"/>
      <c r="R33" s="64"/>
      <c r="S33" s="40">
        <v>66</v>
      </c>
      <c r="T33" s="40">
        <v>178</v>
      </c>
      <c r="U33">
        <v>226</v>
      </c>
    </row>
    <row r="34" spans="1:21" ht="15" customHeight="1">
      <c r="A34" s="1"/>
      <c r="H34" s="61"/>
      <c r="I34" s="51" t="s">
        <v>83</v>
      </c>
      <c r="J34"/>
      <c r="K34" s="40">
        <v>0</v>
      </c>
      <c r="L34" s="40">
        <v>0</v>
      </c>
      <c r="M34" s="40">
        <v>0</v>
      </c>
      <c r="N34" s="61"/>
      <c r="O34" s="35" t="s">
        <v>114</v>
      </c>
      <c r="P34" s="39"/>
      <c r="Q34" s="136"/>
      <c r="R34" s="64">
        <v>97610</v>
      </c>
      <c r="S34" s="40">
        <v>117804</v>
      </c>
      <c r="T34" s="40">
        <v>145824</v>
      </c>
      <c r="U34" s="40">
        <v>174211</v>
      </c>
    </row>
    <row r="35" spans="1:21" ht="15" customHeight="1">
      <c r="I35"/>
      <c r="J35" s="118"/>
      <c r="K35" s="40"/>
      <c r="L35" s="60"/>
      <c r="M35" s="60"/>
      <c r="O35" s="35" t="s">
        <v>115</v>
      </c>
      <c r="P35" s="39"/>
      <c r="Q35" s="121"/>
      <c r="R35" s="47"/>
      <c r="S35" s="40">
        <v>49361</v>
      </c>
      <c r="T35" s="40">
        <v>58858</v>
      </c>
      <c r="U35" s="40">
        <v>65610</v>
      </c>
    </row>
    <row r="36" spans="1:21" ht="15" customHeight="1">
      <c r="I36"/>
      <c r="J36" s="118"/>
      <c r="K36" s="47">
        <f>SUM(K24:K35)</f>
        <v>-80182</v>
      </c>
      <c r="L36" s="47">
        <f>SUM(L24:L35)</f>
        <v>-106828</v>
      </c>
      <c r="M36" s="47">
        <f>SUM(M24:M35)</f>
        <v>-102415</v>
      </c>
      <c r="O36" s="35" t="s">
        <v>116</v>
      </c>
      <c r="P36" s="39"/>
      <c r="Q36" s="121"/>
      <c r="R36" s="47"/>
      <c r="S36" s="124">
        <v>10038</v>
      </c>
      <c r="T36" s="124">
        <v>12066</v>
      </c>
      <c r="U36" s="124">
        <v>14423</v>
      </c>
    </row>
    <row r="37" spans="1:21" ht="15" customHeight="1">
      <c r="I37"/>
      <c r="J37" s="118"/>
      <c r="K37" s="47"/>
      <c r="L37" s="47"/>
      <c r="M37" s="47"/>
      <c r="O37" s="35" t="s">
        <v>117</v>
      </c>
      <c r="P37" s="69"/>
      <c r="Q37" s="121"/>
      <c r="R37" s="47">
        <v>11104</v>
      </c>
      <c r="S37" s="124">
        <v>11566</v>
      </c>
      <c r="T37" s="124">
        <v>12030</v>
      </c>
      <c r="U37" s="124">
        <v>12737</v>
      </c>
    </row>
    <row r="38" spans="1:21" ht="15" customHeight="1" thickBot="1">
      <c r="I38" s="30" t="s">
        <v>35</v>
      </c>
      <c r="J38" s="131"/>
      <c r="K38" s="40"/>
      <c r="L38" s="64"/>
      <c r="M38" s="65"/>
      <c r="O38" s="44" t="s">
        <v>118</v>
      </c>
      <c r="P38" s="69"/>
      <c r="Q38" s="121"/>
      <c r="R38" s="129"/>
      <c r="S38" s="129">
        <f>SUM(S32:S37)</f>
        <v>200993</v>
      </c>
      <c r="T38" s="129">
        <f>SUM(T32:T37)</f>
        <v>229287</v>
      </c>
      <c r="U38" s="129">
        <f>SUM(U32:U37)</f>
        <v>267207</v>
      </c>
    </row>
    <row r="39" spans="1:21" ht="15" customHeight="1">
      <c r="I39" s="51" t="s">
        <v>84</v>
      </c>
      <c r="J39" s="131"/>
      <c r="K39" s="40" t="s">
        <v>79</v>
      </c>
      <c r="L39" s="40" t="s">
        <v>79</v>
      </c>
      <c r="M39" s="40" t="s">
        <v>92</v>
      </c>
    </row>
    <row r="40" spans="1:21" ht="15" customHeight="1">
      <c r="I40" s="51" t="s">
        <v>85</v>
      </c>
      <c r="J40" s="118"/>
      <c r="K40" s="40" t="s">
        <v>79</v>
      </c>
      <c r="L40" s="40" t="s">
        <v>79</v>
      </c>
      <c r="M40" s="40" t="s">
        <v>93</v>
      </c>
      <c r="O40" s="44" t="s">
        <v>119</v>
      </c>
      <c r="P40" s="56"/>
      <c r="Q40" s="121"/>
      <c r="R40" s="75"/>
      <c r="S40" s="75"/>
      <c r="T40" s="75"/>
      <c r="U40" s="75"/>
    </row>
    <row r="41" spans="1:21" ht="15" customHeight="1">
      <c r="I41" s="51" t="s">
        <v>86</v>
      </c>
      <c r="J41" s="118"/>
      <c r="K41" s="40">
        <v>8339</v>
      </c>
      <c r="L41" s="40" t="s">
        <v>79</v>
      </c>
      <c r="M41" s="40" t="s">
        <v>93</v>
      </c>
      <c r="O41" s="35" t="s">
        <v>122</v>
      </c>
      <c r="P41" s="56"/>
      <c r="Q41" s="121"/>
      <c r="R41" s="75"/>
      <c r="S41">
        <v>249</v>
      </c>
      <c r="T41">
        <v>677</v>
      </c>
      <c r="U41">
        <v>538</v>
      </c>
    </row>
    <row r="42" spans="1:21" ht="15" customHeight="1">
      <c r="I42" s="51" t="s">
        <v>87</v>
      </c>
      <c r="J42" s="118"/>
      <c r="K42" s="40" t="s">
        <v>79</v>
      </c>
      <c r="L42" s="40">
        <v>-11827</v>
      </c>
      <c r="M42" s="40">
        <v>-331</v>
      </c>
      <c r="O42" s="35" t="s">
        <v>116</v>
      </c>
      <c r="P42" s="56"/>
      <c r="Q42" s="121"/>
      <c r="R42" s="75"/>
      <c r="S42">
        <v>876</v>
      </c>
      <c r="T42" s="124">
        <v>1448</v>
      </c>
      <c r="U42" s="124">
        <v>1260</v>
      </c>
    </row>
    <row r="43" spans="1:21" ht="15" customHeight="1">
      <c r="I43" s="51" t="s">
        <v>88</v>
      </c>
      <c r="J43" s="118"/>
      <c r="K43" s="40">
        <v>-1854</v>
      </c>
      <c r="L43" s="40">
        <v>-1472</v>
      </c>
      <c r="M43" s="40">
        <v>-1578</v>
      </c>
      <c r="O43" s="35" t="s">
        <v>120</v>
      </c>
      <c r="P43" s="56"/>
      <c r="Q43" s="121"/>
      <c r="R43" s="75"/>
      <c r="S43" s="75">
        <v>0</v>
      </c>
      <c r="T43" s="75">
        <v>0</v>
      </c>
      <c r="U43" s="124">
        <v>12911</v>
      </c>
    </row>
    <row r="44" spans="1:21" ht="15" customHeight="1">
      <c r="I44" s="51" t="s">
        <v>89</v>
      </c>
      <c r="J44" s="118"/>
      <c r="K44" s="40">
        <v>-18125</v>
      </c>
      <c r="L44" s="40">
        <v>-27187</v>
      </c>
      <c r="M44" s="40">
        <v>-39300</v>
      </c>
      <c r="O44" s="35" t="s">
        <v>121</v>
      </c>
      <c r="P44" s="56"/>
      <c r="Q44" s="121"/>
      <c r="R44" s="75"/>
      <c r="S44" s="124">
        <v>25849</v>
      </c>
      <c r="T44" s="124">
        <v>31616</v>
      </c>
      <c r="U44" s="124">
        <v>33819</v>
      </c>
    </row>
    <row r="45" spans="1:21" ht="15" customHeight="1" thickBot="1">
      <c r="I45" s="51" t="s">
        <v>90</v>
      </c>
      <c r="J45" s="118"/>
      <c r="K45" s="40">
        <v>-444</v>
      </c>
      <c r="L45" s="40">
        <v>-133</v>
      </c>
      <c r="M45" s="40">
        <v>-198</v>
      </c>
      <c r="O45" s="44" t="s">
        <v>123</v>
      </c>
      <c r="P45" s="69"/>
      <c r="Q45" s="121"/>
      <c r="R45" s="129"/>
      <c r="S45" s="129">
        <f>SUM(S39:S44)</f>
        <v>26974</v>
      </c>
      <c r="T45" s="129">
        <f>SUM(T39:T44)</f>
        <v>33741</v>
      </c>
      <c r="U45" s="129">
        <f>SUM(U39:U44)</f>
        <v>48528</v>
      </c>
    </row>
    <row r="46" spans="1:21" ht="15" customHeight="1">
      <c r="I46" s="51" t="s">
        <v>91</v>
      </c>
      <c r="J46" s="118"/>
      <c r="K46" s="40" t="s">
        <v>79</v>
      </c>
      <c r="L46" s="40" t="s">
        <v>79</v>
      </c>
      <c r="M46" s="40">
        <v>-79</v>
      </c>
      <c r="O46" s="44"/>
      <c r="P46" s="56"/>
      <c r="Q46" s="121"/>
      <c r="R46" s="75"/>
      <c r="S46" s="75"/>
      <c r="T46" s="75"/>
      <c r="U46" s="75"/>
    </row>
    <row r="47" spans="1:21" ht="15" customHeight="1">
      <c r="I47" s="51"/>
      <c r="J47" s="121"/>
      <c r="K47" s="40">
        <f>SUM(K39:K46)</f>
        <v>-12084</v>
      </c>
      <c r="L47" s="40">
        <f t="shared" ref="L47:M47" si="6">SUM(L39:L46)</f>
        <v>-40619</v>
      </c>
      <c r="M47" s="40">
        <f t="shared" si="6"/>
        <v>-41486</v>
      </c>
      <c r="O47" s="62"/>
      <c r="P47" s="56"/>
      <c r="Q47" s="137"/>
      <c r="R47" s="75"/>
      <c r="S47" s="75"/>
      <c r="T47" s="75"/>
      <c r="U47" s="75"/>
    </row>
    <row r="48" spans="1:21" ht="15" customHeight="1">
      <c r="I48" s="28"/>
      <c r="J48" s="121"/>
      <c r="K48" s="40"/>
      <c r="L48" s="40"/>
      <c r="M48" s="40"/>
      <c r="O48" s="44" t="s">
        <v>33</v>
      </c>
      <c r="P48" s="56"/>
      <c r="Q48" s="121"/>
      <c r="R48" s="138">
        <f>SUM(R35:R38)</f>
        <v>11104</v>
      </c>
      <c r="S48" s="75">
        <f>S38+S45</f>
        <v>227967</v>
      </c>
      <c r="T48" s="75">
        <f>T38+T45</f>
        <v>263028</v>
      </c>
      <c r="U48" s="75">
        <f>U38+U45</f>
        <v>315735</v>
      </c>
    </row>
    <row r="49" spans="9:21" ht="15" customHeight="1">
      <c r="J49" s="118"/>
      <c r="K49" s="40"/>
      <c r="L49" s="40"/>
      <c r="M49" s="40"/>
      <c r="O49" s="1"/>
      <c r="P49" s="1"/>
      <c r="Q49" s="110"/>
      <c r="R49" s="1"/>
      <c r="S49" s="1"/>
      <c r="T49" s="1"/>
      <c r="U49" s="1"/>
    </row>
    <row r="50" spans="9:21" ht="15" customHeight="1">
      <c r="I50" s="30" t="s">
        <v>5</v>
      </c>
      <c r="J50" s="118"/>
      <c r="K50" s="40">
        <v>92280</v>
      </c>
      <c r="L50" s="40">
        <v>151670</v>
      </c>
      <c r="M50" s="40">
        <v>140124</v>
      </c>
      <c r="O50" s="30" t="s">
        <v>40</v>
      </c>
      <c r="P50" s="56"/>
      <c r="Q50" s="137"/>
      <c r="R50" s="75"/>
      <c r="S50" s="75"/>
      <c r="T50" s="75"/>
      <c r="U50" s="75"/>
    </row>
    <row r="51" spans="9:21" ht="15" customHeight="1">
      <c r="I51" s="30" t="s">
        <v>26</v>
      </c>
      <c r="J51" s="118"/>
      <c r="K51" s="40">
        <v>-80182</v>
      </c>
      <c r="L51" s="40">
        <v>-106828</v>
      </c>
      <c r="M51" s="40">
        <v>-102415</v>
      </c>
      <c r="O51" s="35" t="s">
        <v>43</v>
      </c>
      <c r="P51" s="52"/>
      <c r="Q51" s="121"/>
      <c r="R51" s="47"/>
      <c r="S51" s="40">
        <v>1510</v>
      </c>
      <c r="T51" s="40">
        <v>1572</v>
      </c>
      <c r="U51" s="124">
        <v>1572</v>
      </c>
    </row>
    <row r="52" spans="9:21" ht="15" customHeight="1">
      <c r="I52" s="30" t="s">
        <v>35</v>
      </c>
      <c r="J52" s="118"/>
      <c r="K52" s="40">
        <v>-12084</v>
      </c>
      <c r="L52" s="40">
        <v>-40619</v>
      </c>
      <c r="M52" s="40">
        <v>-41486</v>
      </c>
      <c r="O52" s="35" t="s">
        <v>124</v>
      </c>
      <c r="P52" s="52"/>
      <c r="Q52" s="121"/>
      <c r="R52" s="47"/>
      <c r="S52" s="124">
        <v>602310</v>
      </c>
      <c r="T52" s="124">
        <v>838248</v>
      </c>
      <c r="U52" s="124">
        <v>938895</v>
      </c>
    </row>
    <row r="53" spans="9:21" ht="15" customHeight="1">
      <c r="I53" s="62" t="s">
        <v>94</v>
      </c>
      <c r="J53" s="118"/>
      <c r="K53" s="40">
        <f t="shared" ref="K53:M53" si="7">SUM(K50:K52)</f>
        <v>14</v>
      </c>
      <c r="L53" s="40">
        <f t="shared" si="7"/>
        <v>4223</v>
      </c>
      <c r="M53" s="40">
        <f t="shared" si="7"/>
        <v>-3777</v>
      </c>
      <c r="O53" s="44" t="s">
        <v>46</v>
      </c>
      <c r="P53" s="56"/>
      <c r="Q53" s="121"/>
      <c r="R53" s="138">
        <f>SUM(R51:R52)</f>
        <v>0</v>
      </c>
      <c r="S53" s="138">
        <f>SUM(S51:S52)</f>
        <v>603820</v>
      </c>
      <c r="T53" s="138">
        <f t="shared" ref="T53:U53" si="8">SUM(T51:T52)</f>
        <v>839820</v>
      </c>
      <c r="U53" s="138">
        <f t="shared" si="8"/>
        <v>940467</v>
      </c>
    </row>
    <row r="54" spans="9:21" ht="15" customHeight="1">
      <c r="I54" s="62"/>
      <c r="J54" s="118"/>
      <c r="K54" s="40"/>
      <c r="L54" s="40"/>
      <c r="M54" s="40"/>
      <c r="O54" s="62"/>
      <c r="P54" s="56"/>
      <c r="Q54" s="137"/>
      <c r="R54" s="75"/>
      <c r="S54" s="75"/>
      <c r="T54" s="75"/>
      <c r="U54" s="75"/>
    </row>
    <row r="55" spans="9:21" ht="15" customHeight="1" thickBot="1">
      <c r="I55" s="30" t="s">
        <v>47</v>
      </c>
      <c r="J55" s="131"/>
      <c r="K55" s="40"/>
      <c r="L55" s="64"/>
      <c r="M55" s="65"/>
      <c r="O55" s="44" t="s">
        <v>48</v>
      </c>
      <c r="P55" s="56"/>
      <c r="Q55" s="121"/>
      <c r="R55" s="129">
        <f>R48+R53</f>
        <v>11104</v>
      </c>
      <c r="S55" s="129">
        <f>S48+S53</f>
        <v>831787</v>
      </c>
      <c r="T55" s="129">
        <f t="shared" ref="T55" si="9">T48+T53</f>
        <v>1102848</v>
      </c>
      <c r="U55" s="129">
        <f>U48+U53</f>
        <v>1256202</v>
      </c>
    </row>
    <row r="56" spans="9:21" ht="15" customHeight="1">
      <c r="I56" s="35" t="s">
        <v>49</v>
      </c>
      <c r="J56" s="131"/>
      <c r="K56" s="40"/>
      <c r="L56" s="64"/>
      <c r="M56" s="64"/>
      <c r="O56" s="139"/>
      <c r="P56" s="140"/>
      <c r="Q56" s="141"/>
      <c r="R56" s="83"/>
      <c r="S56" s="83"/>
      <c r="T56" s="83"/>
      <c r="U56" s="83"/>
    </row>
    <row r="57" spans="9:21" ht="15" customHeight="1">
      <c r="I57" s="35" t="s">
        <v>50</v>
      </c>
      <c r="J57" s="121"/>
      <c r="K57" s="40">
        <v>320</v>
      </c>
      <c r="L57" s="40">
        <f>K59</f>
        <v>334</v>
      </c>
      <c r="M57" s="40">
        <f>L59</f>
        <v>4557</v>
      </c>
      <c r="O57" s="1"/>
      <c r="P57" s="1"/>
      <c r="Q57" s="110"/>
      <c r="R57" s="1"/>
      <c r="S57" s="1"/>
      <c r="T57" s="1"/>
      <c r="U57" s="1"/>
    </row>
    <row r="58" spans="9:21" ht="15" customHeight="1">
      <c r="I58" s="44" t="s">
        <v>51</v>
      </c>
      <c r="J58" s="121"/>
      <c r="K58" s="40">
        <f>K53</f>
        <v>14</v>
      </c>
      <c r="L58" s="40">
        <f t="shared" ref="L58:M58" si="10">L53</f>
        <v>4223</v>
      </c>
      <c r="M58" s="40">
        <f t="shared" si="10"/>
        <v>-3777</v>
      </c>
      <c r="O58" s="85" t="s">
        <v>52</v>
      </c>
      <c r="Q58" s="121"/>
      <c r="R58" s="142">
        <f>R28-R55</f>
        <v>100160</v>
      </c>
      <c r="S58" s="142">
        <f>S28-S55</f>
        <v>0</v>
      </c>
      <c r="T58" s="142">
        <f>T28-T55</f>
        <v>0</v>
      </c>
      <c r="U58" s="142">
        <f>U28-U55</f>
        <v>0</v>
      </c>
    </row>
    <row r="59" spans="9:21" ht="15" customHeight="1" thickBot="1">
      <c r="I59" s="1"/>
      <c r="J59" s="121"/>
      <c r="K59" s="129">
        <f>SUM(K57:K58)</f>
        <v>334</v>
      </c>
      <c r="L59" s="129">
        <f t="shared" ref="L59:M59" si="11">SUM(L57:L58)</f>
        <v>4557</v>
      </c>
      <c r="M59" s="129">
        <f t="shared" si="11"/>
        <v>780</v>
      </c>
      <c r="O59" s="1"/>
      <c r="P59" s="1"/>
      <c r="Q59" s="1"/>
      <c r="R59" s="1"/>
      <c r="S59" s="1"/>
      <c r="T59" s="1"/>
      <c r="U59" s="1"/>
    </row>
    <row r="60" spans="9:21" ht="15" customHeight="1">
      <c r="I60" s="88"/>
      <c r="J60" s="89"/>
      <c r="K60" s="89"/>
      <c r="L60" s="89"/>
      <c r="M60" s="89"/>
      <c r="O60" s="88"/>
      <c r="P60" s="88"/>
      <c r="Q60" s="88"/>
      <c r="R60" s="88"/>
      <c r="S60" s="88"/>
      <c r="T60" s="88"/>
      <c r="U60" s="88" t="s">
        <v>0</v>
      </c>
    </row>
  </sheetData>
  <conditionalFormatting sqref="R58:U58">
    <cfRule type="expression" dxfId="1" priority="1">
      <formula>R58&lt;&gt;0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fitToWidth="0" fitToHeight="0" orientation="portrait" r:id="rId1"/>
  <headerFooter>
    <oddFooter>&amp;L&amp;"Open Sans,Bold"&amp;10&amp;K002060Compact 3-Statement Model&amp;C&amp;"Open Sans,Bold"&amp;10&amp;K002060Page &amp;P of &amp;N&amp;R&amp;"Open Sans,Bold"&amp;K002060&amp;G</oddFooter>
  </headerFooter>
  <rowBreaks count="1" manualBreakCount="1">
    <brk id="1" max="15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B6EF-9A6D-4CA7-B163-AB917C727F8D}">
  <dimension ref="A1:E64"/>
  <sheetViews>
    <sheetView showGridLines="0" zoomScale="90" zoomScaleNormal="90" workbookViewId="0">
      <selection activeCell="K9" sqref="K9"/>
    </sheetView>
  </sheetViews>
  <sheetFormatPr defaultRowHeight="15.6"/>
  <cols>
    <col min="1" max="1" width="37.109375" style="143" bestFit="1" customWidth="1"/>
    <col min="2" max="2" width="11.44140625" style="143" bestFit="1" customWidth="1"/>
    <col min="3" max="3" width="10" style="143" bestFit="1" customWidth="1"/>
    <col min="4" max="4" width="10.33203125" style="143" bestFit="1" customWidth="1"/>
    <col min="5" max="5" width="11.109375" style="143" bestFit="1" customWidth="1"/>
    <col min="6" max="16384" width="8.88671875" style="143"/>
  </cols>
  <sheetData>
    <row r="1" spans="1:5">
      <c r="A1" s="264" t="s">
        <v>125</v>
      </c>
      <c r="B1" s="264"/>
      <c r="C1" s="264"/>
      <c r="D1" s="264"/>
    </row>
    <row r="2" spans="1:5">
      <c r="A2" s="144"/>
      <c r="B2" s="144"/>
      <c r="C2" s="144"/>
      <c r="D2" s="144"/>
    </row>
    <row r="3" spans="1:5">
      <c r="A3" s="144"/>
      <c r="B3" s="148" t="s">
        <v>126</v>
      </c>
      <c r="C3" s="148" t="s">
        <v>127</v>
      </c>
      <c r="D3" s="148" t="s">
        <v>128</v>
      </c>
      <c r="E3" s="148" t="s">
        <v>162</v>
      </c>
    </row>
    <row r="4" spans="1:5">
      <c r="A4" s="144" t="s">
        <v>129</v>
      </c>
      <c r="B4" s="145">
        <f>'Historic Model'!E29/'Historic Model'!S28</f>
        <v>6.9273744360034487E-2</v>
      </c>
      <c r="C4" s="145">
        <f>'Historic Model'!F29/'Historic Model'!T28</f>
        <v>9.9789816910399259E-2</v>
      </c>
      <c r="D4" s="145">
        <f>'Historic Model'!G29/'Historic Model'!U28</f>
        <v>8.69390432430453E-2</v>
      </c>
      <c r="E4" s="149">
        <f>AVERAGE(B4:D4)</f>
        <v>8.5334201504493015E-2</v>
      </c>
    </row>
    <row r="5" spans="1:5">
      <c r="A5" s="144" t="s">
        <v>130</v>
      </c>
      <c r="B5" s="145">
        <f>'Historic Model'!E29/'Historic Model'!S53</f>
        <v>9.5427445265145239E-2</v>
      </c>
      <c r="C5" s="145">
        <f>'Historic Model'!F29/'Historic Model'!T53</f>
        <v>0.13104355695268033</v>
      </c>
      <c r="D5" s="145">
        <f>'Historic Model'!G29/'Historic Model'!U53</f>
        <v>0.116126349994205</v>
      </c>
      <c r="E5" s="149">
        <f t="shared" ref="E5:E6" si="0">AVERAGE(B5:D5)</f>
        <v>0.11419911740401019</v>
      </c>
    </row>
    <row r="6" spans="1:5">
      <c r="A6" s="144" t="s">
        <v>131</v>
      </c>
      <c r="B6" s="145">
        <f>'Historic Model'!E31/'Historic Model'!E32</f>
        <v>9.5454158858995886E-2</v>
      </c>
      <c r="C6" s="145">
        <f>'Historic Model'!F31/'Historic Model'!F32</f>
        <v>0.13300236262825399</v>
      </c>
      <c r="D6" s="145">
        <f>'Historic Model'!G31/'Historic Model'!G32</f>
        <v>0.11721744001969281</v>
      </c>
      <c r="E6" s="149">
        <f t="shared" si="0"/>
        <v>0.11522465383564756</v>
      </c>
    </row>
    <row r="7" spans="1:5">
      <c r="A7" s="144"/>
      <c r="B7" s="144"/>
      <c r="C7" s="144"/>
      <c r="D7" s="144"/>
    </row>
    <row r="8" spans="1:5">
      <c r="A8" s="264" t="s">
        <v>135</v>
      </c>
      <c r="B8" s="264"/>
      <c r="C8" s="264"/>
      <c r="D8" s="264"/>
    </row>
    <row r="9" spans="1:5">
      <c r="A9" s="144"/>
      <c r="B9" s="144"/>
      <c r="C9" s="144"/>
      <c r="D9" s="144"/>
    </row>
    <row r="10" spans="1:5">
      <c r="A10" s="144"/>
      <c r="B10" s="148" t="s">
        <v>126</v>
      </c>
      <c r="C10" s="148" t="s">
        <v>127</v>
      </c>
      <c r="D10" s="148" t="s">
        <v>128</v>
      </c>
      <c r="E10" s="148" t="s">
        <v>162</v>
      </c>
    </row>
    <row r="11" spans="1:5">
      <c r="A11" s="144" t="s">
        <v>136</v>
      </c>
      <c r="B11" s="145">
        <f>'Historic Model'!E9/'Historic Model'!E7</f>
        <v>0.26615578751034907</v>
      </c>
      <c r="C11" s="145">
        <f>'Historic Model'!F9/'Historic Model'!F7</f>
        <v>0.29689718324354886</v>
      </c>
      <c r="D11" s="145">
        <f>'Historic Model'!G9/'Historic Model'!G7</f>
        <v>0.29704603271141106</v>
      </c>
      <c r="E11" s="158">
        <f>AVERAGE(B11:D11)</f>
        <v>0.28669966782176964</v>
      </c>
    </row>
    <row r="12" spans="1:5">
      <c r="A12" s="144" t="s">
        <v>137</v>
      </c>
      <c r="B12" s="145">
        <f>-SUM('Historic Model'!E8,'Historic Model'!E12)/'Historic Model'!E7</f>
        <v>0.90740613106041457</v>
      </c>
      <c r="C12" s="145">
        <f>-SUM('Historic Model'!F8,'Historic Model'!F12)/'Historic Model'!F7</f>
        <v>0.87274757469078279</v>
      </c>
      <c r="D12" s="145">
        <f>-SUM('Historic Model'!G8,'Historic Model'!G12)/'Historic Model'!G7</f>
        <v>0.87246538881586266</v>
      </c>
      <c r="E12" s="158">
        <f t="shared" ref="E12:E16" si="1">AVERAGE(B12:D12)</f>
        <v>0.88420636485568671</v>
      </c>
    </row>
    <row r="13" spans="1:5">
      <c r="A13" s="144" t="s">
        <v>138</v>
      </c>
      <c r="B13" s="145">
        <f>-'Historic Model'!E26/'Historic Model'!E21</f>
        <v>0.26802591463414632</v>
      </c>
      <c r="C13" s="145">
        <f>-'Historic Model'!F26/'Historic Model'!F21</f>
        <v>0.25821801931748484</v>
      </c>
      <c r="D13" s="145">
        <f>-'Historic Model'!G26/'Historic Model'!G21</f>
        <v>0.32372920188491144</v>
      </c>
      <c r="E13" s="158">
        <f t="shared" si="1"/>
        <v>0.28332437861218085</v>
      </c>
    </row>
    <row r="14" spans="1:5">
      <c r="A14" s="144" t="s">
        <v>139</v>
      </c>
      <c r="B14" s="145">
        <f>'Historic Model'!E29/'Historic Model'!E21</f>
        <v>0.73197408536585362</v>
      </c>
      <c r="C14" s="145">
        <f>'Historic Model'!F29/'Historic Model'!F21</f>
        <v>0.74178198068251522</v>
      </c>
      <c r="D14" s="145">
        <f>'Historic Model'!G29/'Historic Model'!G21</f>
        <v>0.67627079811508861</v>
      </c>
      <c r="E14" s="158">
        <f t="shared" si="1"/>
        <v>0.71667562138781926</v>
      </c>
    </row>
    <row r="15" spans="1:5">
      <c r="A15" s="144" t="s">
        <v>141</v>
      </c>
      <c r="B15" s="145">
        <f>'Historic Model'!E21/'Historic Model'!E17</f>
        <v>0.97684461320824956</v>
      </c>
      <c r="C15" s="145">
        <f>'Historic Model'!F21/'Historic Model'!F17</f>
        <v>0.98714528094747001</v>
      </c>
      <c r="D15" s="145">
        <f>'Historic Model'!G21/'Historic Model'!G17</f>
        <v>0.98818411004503626</v>
      </c>
      <c r="E15" s="158">
        <f t="shared" si="1"/>
        <v>0.9840580014002519</v>
      </c>
    </row>
    <row r="16" spans="1:5">
      <c r="A16" s="144" t="s">
        <v>140</v>
      </c>
      <c r="B16" s="149">
        <f>1-B15</f>
        <v>2.3155386791750443E-2</v>
      </c>
      <c r="C16" s="149">
        <f t="shared" ref="C16:D16" si="2">1-C15</f>
        <v>1.2854719052529995E-2</v>
      </c>
      <c r="D16" s="149">
        <f t="shared" si="2"/>
        <v>1.1815889954963743E-2</v>
      </c>
      <c r="E16" s="158">
        <f t="shared" si="1"/>
        <v>1.5941998599748059E-2</v>
      </c>
    </row>
    <row r="17" spans="1:5">
      <c r="A17" s="144"/>
      <c r="B17" s="144"/>
      <c r="C17" s="144"/>
      <c r="D17" s="144"/>
    </row>
    <row r="18" spans="1:5">
      <c r="A18" s="264" t="s">
        <v>142</v>
      </c>
      <c r="B18" s="264"/>
      <c r="C18" s="264"/>
      <c r="D18" s="264"/>
    </row>
    <row r="19" spans="1:5">
      <c r="A19" s="144"/>
      <c r="B19" s="144"/>
      <c r="C19" s="144"/>
      <c r="D19" s="144"/>
    </row>
    <row r="20" spans="1:5">
      <c r="A20" s="144"/>
      <c r="B20" s="148" t="s">
        <v>126</v>
      </c>
      <c r="C20" s="148" t="s">
        <v>127</v>
      </c>
      <c r="D20" s="148" t="s">
        <v>128</v>
      </c>
      <c r="E20" s="148" t="s">
        <v>162</v>
      </c>
    </row>
    <row r="21" spans="1:5">
      <c r="A21" s="152" t="s">
        <v>143</v>
      </c>
      <c r="B21" s="153">
        <f>'Historic Model'!E7/'Historic Model'!S28</f>
        <v>1.4128965708769192</v>
      </c>
      <c r="C21" s="153">
        <f>'Historic Model'!F7/'Historic Model'!T28</f>
        <v>1.2862896790854226</v>
      </c>
      <c r="D21" s="153">
        <f>'Historic Model'!G7/'Historic Model'!U28</f>
        <v>1.2172644208495131</v>
      </c>
      <c r="E21" s="160">
        <f>AVERAGE(B21:D21)</f>
        <v>1.3054835569372849</v>
      </c>
    </row>
    <row r="22" spans="1:5">
      <c r="A22" s="152" t="s">
        <v>144</v>
      </c>
      <c r="B22" s="153">
        <f>'Historic Model'!E7/'Historic Model'!S16</f>
        <v>7.0514022056088228</v>
      </c>
      <c r="C22" s="153">
        <f>'Historic Model'!F7/'Historic Model'!T16</f>
        <v>8.138084146999093</v>
      </c>
      <c r="D22" s="153">
        <f>'Historic Model'!G7/'Historic Model'!U16</f>
        <v>6.4688935705764399</v>
      </c>
      <c r="E22" s="160">
        <f t="shared" ref="E22:E27" si="3">AVERAGE(B22:D22)</f>
        <v>7.2194599743947849</v>
      </c>
    </row>
    <row r="23" spans="1:5">
      <c r="A23" s="152" t="s">
        <v>145</v>
      </c>
      <c r="B23" s="153">
        <f>'Historic Model'!E7/'Historic Model'!S10</f>
        <v>35.658383397050791</v>
      </c>
      <c r="C23" s="153">
        <f>'Historic Model'!F7/'Historic Model'!T10</f>
        <v>30.830026296916088</v>
      </c>
      <c r="D23" s="153">
        <f>'Historic Model'!G7/'Historic Model'!U10</f>
        <v>23.389418296954588</v>
      </c>
      <c r="E23" s="160">
        <f t="shared" si="3"/>
        <v>29.959275996973819</v>
      </c>
    </row>
    <row r="24" spans="1:5">
      <c r="A24" s="152" t="s">
        <v>146</v>
      </c>
      <c r="B24" s="154">
        <f>('Historic Model'!S10*365)/'Historic Model'!E7</f>
        <v>10.236022085908363</v>
      </c>
      <c r="C24" s="154">
        <f>('Historic Model'!T10*365)/'Historic Model'!F7</f>
        <v>11.83910764411222</v>
      </c>
      <c r="D24" s="154">
        <f>('Historic Model'!U10*365)/'Historic Model'!G7</f>
        <v>15.605347485171306</v>
      </c>
      <c r="E24" s="154">
        <f>AVERAGE(B24:D24)</f>
        <v>12.560159071730631</v>
      </c>
    </row>
    <row r="25" spans="1:5">
      <c r="A25" s="152" t="s">
        <v>147</v>
      </c>
      <c r="B25" s="153">
        <f>-'Historic Model'!E8/'Historic Model'!S9</f>
        <v>20.13247583920818</v>
      </c>
      <c r="C25" s="153">
        <f>-'Historic Model'!F8/'Historic Model'!T9</f>
        <v>24.211306923002233</v>
      </c>
      <c r="D25" s="153">
        <f>-'Historic Model'!G8/'Historic Model'!U9</f>
        <v>20.982002732773765</v>
      </c>
      <c r="E25" s="160">
        <f t="shared" si="3"/>
        <v>21.775261831661393</v>
      </c>
    </row>
    <row r="26" spans="1:5">
      <c r="A26" s="152" t="s">
        <v>148</v>
      </c>
      <c r="B26" s="154">
        <f>('Historic Model'!S9*365)/(-'Historic Model'!E8)</f>
        <v>18.12991123968763</v>
      </c>
      <c r="C26" s="154">
        <f>('Historic Model'!T9*365)/(-'Historic Model'!F8)</f>
        <v>15.075600881884965</v>
      </c>
      <c r="D26" s="154">
        <f>('Historic Model'!U9*365)/(-'Historic Model'!G8)</f>
        <v>17.395860855068527</v>
      </c>
      <c r="E26" s="154">
        <f>AVERAGE(B26:D26)</f>
        <v>16.867124325547042</v>
      </c>
    </row>
    <row r="27" spans="1:5">
      <c r="A27" s="152" t="s">
        <v>149</v>
      </c>
      <c r="B27" s="153">
        <f>-'Historic Model'!E8/'Historic Model'!S34</f>
        <v>7.3209313775423581</v>
      </c>
      <c r="C27" s="153">
        <f>-'Historic Model'!F8/'Historic Model'!T34</f>
        <v>6.8398137480798775</v>
      </c>
      <c r="D27" s="153">
        <f>-'Historic Model'!G8/'Historic Model'!U34</f>
        <v>6.1701499905287269</v>
      </c>
      <c r="E27" s="160">
        <f t="shared" si="3"/>
        <v>6.7769650387169875</v>
      </c>
    </row>
    <row r="28" spans="1:5">
      <c r="A28" s="152" t="s">
        <v>150</v>
      </c>
      <c r="B28" s="154">
        <f>('Historic Model'!S34*365)/(-'Historic Model'!E8)</f>
        <v>49.857044298990651</v>
      </c>
      <c r="C28" s="154">
        <f>('Historic Model'!T34*365)/(-'Historic Model'!F8)</f>
        <v>53.364026191863118</v>
      </c>
      <c r="D28" s="154">
        <f>('Historic Model'!U34*365)/(-'Historic Model'!G8)</f>
        <v>59.155774261611228</v>
      </c>
      <c r="E28" s="154">
        <f>AVERAGE(B28:D28)</f>
        <v>54.125614917488328</v>
      </c>
    </row>
    <row r="29" spans="1:5">
      <c r="A29" s="152" t="s">
        <v>151</v>
      </c>
      <c r="B29" s="154">
        <f>(B23+B25)-B28</f>
        <v>5.9338149372683162</v>
      </c>
      <c r="C29" s="154">
        <f t="shared" ref="C29:D29" si="4">(C23+C25)-C28</f>
        <v>1.6773070280552034</v>
      </c>
      <c r="D29" s="154">
        <f t="shared" si="4"/>
        <v>-14.784353231882875</v>
      </c>
      <c r="E29" s="154">
        <f>AVERAGE(B29:D29)</f>
        <v>-2.3910770888531183</v>
      </c>
    </row>
    <row r="31" spans="1:5">
      <c r="A31" s="264" t="s">
        <v>152</v>
      </c>
      <c r="B31" s="264"/>
      <c r="C31" s="264"/>
      <c r="D31" s="264"/>
    </row>
    <row r="33" spans="1:5">
      <c r="B33" s="148" t="s">
        <v>126</v>
      </c>
      <c r="C33" s="148" t="s">
        <v>127</v>
      </c>
      <c r="D33" s="148" t="s">
        <v>128</v>
      </c>
      <c r="E33" s="148" t="s">
        <v>162</v>
      </c>
    </row>
    <row r="34" spans="1:5">
      <c r="A34" s="150" t="s">
        <v>153</v>
      </c>
      <c r="B34" s="153">
        <f>'Historic Model'!S28/'Historic Model'!S53</f>
        <v>1.377541320261005</v>
      </c>
      <c r="C34" s="153">
        <f>'Historic Model'!T28/'Historic Model'!T53</f>
        <v>1.3131956847895978</v>
      </c>
      <c r="D34" s="153">
        <f>'Historic Model'!U28/'Historic Model'!U53</f>
        <v>1.3357215085696788</v>
      </c>
      <c r="E34" s="160">
        <f>AVERAGE(B34:D34)</f>
        <v>1.3421528378734273</v>
      </c>
    </row>
    <row r="35" spans="1:5">
      <c r="A35" s="150" t="s">
        <v>154</v>
      </c>
      <c r="B35" s="153">
        <f>'Historic Model'!S48/'Historic Model'!S53</f>
        <v>0.37754132026100495</v>
      </c>
      <c r="C35" s="153">
        <f>'Historic Model'!T48/'Historic Model'!T53</f>
        <v>0.31319568478959775</v>
      </c>
      <c r="D35" s="153">
        <f>'Historic Model'!U48/'Historic Model'!U53</f>
        <v>0.33572150856967869</v>
      </c>
      <c r="E35" s="160">
        <f t="shared" ref="E35:E38" si="5">AVERAGE(B35:D35)</f>
        <v>0.34215283787342715</v>
      </c>
    </row>
    <row r="36" spans="1:5">
      <c r="A36" s="150" t="s">
        <v>155</v>
      </c>
      <c r="B36" s="153">
        <f>('Historic Model'!S32+'Historic Model'!S33+'Historic Model'!S41)/'Historic Model'!S53</f>
        <v>2.0656818257096487E-2</v>
      </c>
      <c r="C36" s="153">
        <f>('Historic Model'!T32+'Historic Model'!T33+'Historic Model'!T41)/'Historic Model'!T53</f>
        <v>1.4122073777714272E-3</v>
      </c>
      <c r="D36" s="153">
        <f>('Historic Model'!U33+'Historic Model'!U41)/'Historic Model'!U53</f>
        <v>8.1236236890821264E-4</v>
      </c>
      <c r="E36" s="160">
        <f t="shared" si="5"/>
        <v>7.6271293345920423E-3</v>
      </c>
    </row>
    <row r="37" spans="1:5">
      <c r="A37" s="150" t="s">
        <v>156</v>
      </c>
      <c r="B37" s="153">
        <f>('Historic Model'!S32+'Historic Model'!S33+'Historic Model'!S41)/('Historic Model'!S53-('Historic Model'!S19+'Historic Model'!S20))</f>
        <v>2.08769909549219E-2</v>
      </c>
      <c r="C37" s="153">
        <f>('Historic Model'!T32+'Historic Model'!T33+'Historic Model'!T41)/('Historic Model'!T53-('Historic Model'!T19+'Historic Model'!T20))</f>
        <v>1.4237609618189568E-3</v>
      </c>
      <c r="D37" s="153">
        <f>('Historic Model'!U33+'Historic Model'!U41)/('Historic Model'!U53-('Historic Model'!U19+'Historic Model'!U20))</f>
        <v>8.2007597510146298E-4</v>
      </c>
      <c r="E37" s="160">
        <f t="shared" si="5"/>
        <v>7.7069426306141066E-3</v>
      </c>
    </row>
    <row r="38" spans="1:5">
      <c r="A38" s="150" t="s">
        <v>157</v>
      </c>
      <c r="B38" s="153">
        <f>('Historic Model'!S32+'Historic Model'!S33+'Historic Model'!S41-'Historic Model'!S8)/'Historic Model'!E13</f>
        <v>0.11155221055146619</v>
      </c>
      <c r="C38" s="153">
        <f>('Historic Model'!T32+'Historic Model'!T33+'Historic Model'!T41-'Historic Model'!T8)/'Historic Model'!F13</f>
        <v>-1.8674038046067428E-2</v>
      </c>
      <c r="D38" s="153">
        <f>('Historic Model'!U33+'Historic Model'!U41-'Historic Model'!U8)/'Historic Model'!G13</f>
        <v>-8.2044129486147366E-5</v>
      </c>
      <c r="E38" s="160">
        <f t="shared" si="5"/>
        <v>3.0932042791970871E-2</v>
      </c>
    </row>
    <row r="39" spans="1:5">
      <c r="E39" s="159"/>
    </row>
    <row r="40" spans="1:5">
      <c r="A40" s="264" t="s">
        <v>158</v>
      </c>
      <c r="B40" s="264"/>
      <c r="C40" s="264"/>
      <c r="D40" s="264"/>
    </row>
    <row r="42" spans="1:5">
      <c r="B42" s="148" t="s">
        <v>126</v>
      </c>
      <c r="C42" s="148" t="s">
        <v>127</v>
      </c>
      <c r="D42" s="148" t="s">
        <v>128</v>
      </c>
      <c r="E42" s="148" t="s">
        <v>162</v>
      </c>
    </row>
    <row r="43" spans="1:5">
      <c r="A43" s="150" t="s">
        <v>160</v>
      </c>
      <c r="B43" s="153">
        <f>'Historic Model'!S13/'Historic Model'!S38</f>
        <v>0.57712955177543501</v>
      </c>
      <c r="C43" s="153">
        <f>'Historic Model'!T13/'Historic Model'!T38</f>
        <v>0.77467976815083284</v>
      </c>
      <c r="D43" s="153">
        <f>'Historic Model'!U13/'Historic Model'!U38</f>
        <v>0.87019426886271689</v>
      </c>
      <c r="E43" s="160">
        <f>AVERAGE(B43:D43)</f>
        <v>0.74066786292966158</v>
      </c>
    </row>
    <row r="44" spans="1:5">
      <c r="A44" s="150" t="s">
        <v>161</v>
      </c>
      <c r="B44" s="153">
        <f>('Historic Model'!S13-'Historic Model'!S9)/'Historic Model'!S38</f>
        <v>0.36399775116546346</v>
      </c>
      <c r="C44" s="153">
        <f>('Historic Model'!T13-'Historic Model'!T9)/'Historic Model'!T38</f>
        <v>0.59500974760889191</v>
      </c>
      <c r="D44" s="153">
        <f>('Historic Model'!U13-'Historic Model'!U9)/'Historic Model'!U38</f>
        <v>0.67847024965663327</v>
      </c>
      <c r="E44" s="160">
        <f t="shared" ref="E44:E45" si="6">AVERAGE(B44:D44)</f>
        <v>0.54582591614366283</v>
      </c>
    </row>
    <row r="45" spans="1:5">
      <c r="A45" s="150" t="s">
        <v>159</v>
      </c>
      <c r="B45" s="153">
        <f>-'Historic Model'!E13/(+'Historic Model'!E20)</f>
        <v>58.316720257234728</v>
      </c>
      <c r="C45" s="153">
        <f>-'Historic Model'!F13/(+'Historic Model'!F20)</f>
        <v>93.435817805383024</v>
      </c>
      <c r="D45" s="153">
        <f>-'Historic Model'!G13/(+'Historic Model'!G20)</f>
        <v>100.9927498705334</v>
      </c>
      <c r="E45" s="160">
        <f t="shared" si="6"/>
        <v>84.248429311050387</v>
      </c>
    </row>
    <row r="48" spans="1:5">
      <c r="A48" s="264" t="s">
        <v>163</v>
      </c>
      <c r="B48" s="264"/>
      <c r="C48" s="264"/>
      <c r="D48" s="264"/>
    </row>
    <row r="50" spans="1:4">
      <c r="B50" s="148" t="s">
        <v>126</v>
      </c>
      <c r="C50" s="148" t="s">
        <v>127</v>
      </c>
      <c r="D50" s="148" t="s">
        <v>128</v>
      </c>
    </row>
    <row r="51" spans="1:4">
      <c r="A51" s="150" t="s">
        <v>164</v>
      </c>
      <c r="B51" s="161">
        <f>'Historic Model'!E29/'Historic Model'!E7</f>
        <v>4.9029593381375032E-2</v>
      </c>
      <c r="C51" s="161">
        <f>'Historic Model'!F29/'Historic Model'!F7</f>
        <v>7.7579582992030063E-2</v>
      </c>
      <c r="D51" s="161">
        <f>'Historic Model'!G29/'Historic Model'!G7</f>
        <v>7.1421658067005428E-2</v>
      </c>
    </row>
    <row r="52" spans="1:4">
      <c r="A52" s="150" t="s">
        <v>143</v>
      </c>
      <c r="B52" s="153">
        <f>'Historic Model'!E7/'Historic Model'!S28</f>
        <v>1.4128965708769192</v>
      </c>
      <c r="C52" s="153">
        <f>'Historic Model'!F7/'Historic Model'!T28</f>
        <v>1.2862896790854226</v>
      </c>
      <c r="D52" s="153">
        <f>'Historic Model'!G7/'Historic Model'!U28</f>
        <v>1.2172644208495131</v>
      </c>
    </row>
    <row r="53" spans="1:4">
      <c r="A53" s="150" t="s">
        <v>165</v>
      </c>
      <c r="B53" s="153">
        <f>'Historic Model'!S28/'Historic Model'!S53</f>
        <v>1.377541320261005</v>
      </c>
      <c r="C53" s="153">
        <f>'Historic Model'!T28/'Historic Model'!T53</f>
        <v>1.3131956847895978</v>
      </c>
      <c r="D53" s="153">
        <f>'Historic Model'!U28/'Historic Model'!U53</f>
        <v>1.3357215085696788</v>
      </c>
    </row>
    <row r="54" spans="1:4">
      <c r="A54" s="151" t="s">
        <v>166</v>
      </c>
      <c r="B54" s="161">
        <f>B51*B52*B53</f>
        <v>9.5427445265145239E-2</v>
      </c>
      <c r="C54" s="161">
        <f t="shared" ref="C54:D54" si="7">C51*C52*C53</f>
        <v>0.13104355695268033</v>
      </c>
      <c r="D54" s="161">
        <f t="shared" si="7"/>
        <v>0.11612634999420503</v>
      </c>
    </row>
    <row r="55" spans="1:4">
      <c r="A55" s="151"/>
    </row>
    <row r="56" spans="1:4">
      <c r="A56" s="264" t="s">
        <v>167</v>
      </c>
      <c r="B56" s="264"/>
      <c r="C56" s="264"/>
      <c r="D56" s="264"/>
    </row>
    <row r="58" spans="1:4">
      <c r="B58" s="148" t="s">
        <v>126</v>
      </c>
      <c r="C58" s="148" t="s">
        <v>127</v>
      </c>
      <c r="D58" s="148" t="s">
        <v>128</v>
      </c>
    </row>
    <row r="59" spans="1:4">
      <c r="A59" s="150" t="s">
        <v>139</v>
      </c>
      <c r="B59" s="162">
        <f>'Historic Model'!E29/'Historic Model'!E21</f>
        <v>0.73197408536585362</v>
      </c>
      <c r="C59" s="162">
        <f>'Historic Model'!F29/'Historic Model'!F21</f>
        <v>0.74178198068251522</v>
      </c>
      <c r="D59" s="162">
        <f>'Historic Model'!G29/'Historic Model'!G21</f>
        <v>0.67627079811508861</v>
      </c>
    </row>
    <row r="60" spans="1:4">
      <c r="A60" s="150" t="s">
        <v>141</v>
      </c>
      <c r="B60" s="162">
        <f>'Historic Model'!E21/'Historic Model'!E17</f>
        <v>0.97684461320824956</v>
      </c>
      <c r="C60" s="162">
        <f>'Historic Model'!F21/'Historic Model'!F17</f>
        <v>0.98714528094747001</v>
      </c>
      <c r="D60" s="162">
        <f>'Historic Model'!G21/'Historic Model'!G17</f>
        <v>0.98818411004503626</v>
      </c>
    </row>
    <row r="61" spans="1:4">
      <c r="A61" s="150" t="s">
        <v>168</v>
      </c>
      <c r="B61" s="162">
        <f>'Historic Model'!E17/'Historic Model'!E7</f>
        <v>6.857046584112543E-2</v>
      </c>
      <c r="C61" s="162">
        <f>'Historic Model'!F17/'Historic Model'!F7</f>
        <v>0.10594734742158014</v>
      </c>
      <c r="D61" s="162">
        <f>'Historic Model'!G17/'Historic Model'!G7</f>
        <v>0.10687384329651502</v>
      </c>
    </row>
    <row r="62" spans="1:4">
      <c r="A62" s="150" t="s">
        <v>143</v>
      </c>
      <c r="B62" s="153">
        <v>1.4128965708769192</v>
      </c>
      <c r="C62" s="153">
        <v>1.2862896790854226</v>
      </c>
      <c r="D62" s="153">
        <v>1.2172644208495131</v>
      </c>
    </row>
    <row r="63" spans="1:4">
      <c r="A63" s="150" t="s">
        <v>165</v>
      </c>
      <c r="B63" s="153">
        <v>1.377541320261005</v>
      </c>
      <c r="C63" s="153">
        <v>1.3131956847895978</v>
      </c>
      <c r="D63" s="153">
        <v>1.3357215085696788</v>
      </c>
    </row>
    <row r="64" spans="1:4">
      <c r="A64" s="151" t="s">
        <v>166</v>
      </c>
      <c r="B64" s="161">
        <f>B59*B60*B61*B62*B63</f>
        <v>9.5427445265145239E-2</v>
      </c>
      <c r="C64" s="161">
        <f t="shared" ref="C64:D64" si="8">C59*C60*C61*C62*C63</f>
        <v>0.13104355695268036</v>
      </c>
      <c r="D64" s="161">
        <f t="shared" si="8"/>
        <v>0.11612634999420503</v>
      </c>
    </row>
  </sheetData>
  <mergeCells count="7">
    <mergeCell ref="A48:D48"/>
    <mergeCell ref="A56:D56"/>
    <mergeCell ref="A1:D1"/>
    <mergeCell ref="A8:D8"/>
    <mergeCell ref="A18:D18"/>
    <mergeCell ref="A31:D31"/>
    <mergeCell ref="A40:D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B111-C438-4792-93C1-9E5C3C908879}">
  <dimension ref="A2:J32"/>
  <sheetViews>
    <sheetView showGridLines="0" topLeftCell="A7" zoomScale="85" zoomScaleNormal="85" workbookViewId="0">
      <selection activeCell="F33" sqref="F33"/>
    </sheetView>
  </sheetViews>
  <sheetFormatPr defaultRowHeight="14.4"/>
  <cols>
    <col min="1" max="1" width="42.5546875" bestFit="1" customWidth="1"/>
    <col min="2" max="2" width="5.21875" bestFit="1" customWidth="1"/>
    <col min="3" max="5" width="13.33203125" bestFit="1" customWidth="1"/>
    <col min="6" max="10" width="13.21875" bestFit="1" customWidth="1"/>
  </cols>
  <sheetData>
    <row r="2" spans="1:10" ht="21">
      <c r="A2" s="163" t="s">
        <v>186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15">
      <c r="A3" s="166"/>
      <c r="B3" s="166"/>
      <c r="C3" s="167"/>
      <c r="D3" s="167"/>
      <c r="E3" s="167"/>
      <c r="F3" s="168"/>
      <c r="G3" s="168"/>
      <c r="H3" s="168"/>
      <c r="I3" s="168"/>
      <c r="J3" s="168"/>
    </row>
    <row r="4" spans="1:10" ht="15">
      <c r="A4" s="165" t="s">
        <v>169</v>
      </c>
      <c r="B4" s="165"/>
      <c r="C4" s="176" t="s">
        <v>178</v>
      </c>
      <c r="D4" s="176" t="s">
        <v>179</v>
      </c>
      <c r="E4" s="176" t="s">
        <v>180</v>
      </c>
      <c r="F4" s="176" t="s">
        <v>181</v>
      </c>
      <c r="G4" s="176" t="s">
        <v>182</v>
      </c>
      <c r="H4" s="176" t="s">
        <v>183</v>
      </c>
      <c r="I4" s="176" t="s">
        <v>184</v>
      </c>
      <c r="J4" s="176" t="s">
        <v>185</v>
      </c>
    </row>
    <row r="5" spans="1:10" ht="15">
      <c r="A5" s="166"/>
      <c r="B5" s="166"/>
      <c r="C5" s="167"/>
      <c r="D5" s="167"/>
      <c r="E5" s="167"/>
      <c r="F5" s="168"/>
      <c r="G5" s="168"/>
      <c r="H5" s="168"/>
      <c r="I5" s="168"/>
      <c r="J5" s="168"/>
    </row>
    <row r="6" spans="1:10" ht="15">
      <c r="A6" s="166" t="s">
        <v>187</v>
      </c>
      <c r="B6" s="166"/>
      <c r="C6" s="221">
        <v>365</v>
      </c>
      <c r="D6" s="221">
        <v>365</v>
      </c>
      <c r="E6" s="221">
        <v>365</v>
      </c>
      <c r="F6" s="221">
        <v>365</v>
      </c>
      <c r="G6" s="221">
        <v>365</v>
      </c>
      <c r="H6" s="221">
        <v>365</v>
      </c>
      <c r="I6" s="221">
        <v>365</v>
      </c>
      <c r="J6" s="221">
        <v>365</v>
      </c>
    </row>
    <row r="7" spans="1:10" ht="15">
      <c r="A7" s="167"/>
      <c r="B7" s="167"/>
      <c r="C7" s="222"/>
      <c r="D7" s="222"/>
      <c r="E7" s="222"/>
      <c r="F7" s="222"/>
      <c r="G7" s="222"/>
      <c r="H7" s="222"/>
      <c r="I7" s="222"/>
      <c r="J7" s="222"/>
    </row>
    <row r="8" spans="1:10" ht="15">
      <c r="A8" s="179" t="s">
        <v>1</v>
      </c>
      <c r="B8" s="166"/>
      <c r="C8" s="222"/>
      <c r="D8" s="223"/>
      <c r="E8" s="222"/>
      <c r="F8" s="224"/>
      <c r="G8" s="224"/>
      <c r="H8" s="224"/>
      <c r="I8" s="224"/>
      <c r="J8" s="224"/>
    </row>
    <row r="9" spans="1:10" ht="15">
      <c r="A9" s="169" t="s">
        <v>188</v>
      </c>
      <c r="B9" s="169"/>
      <c r="C9" s="225"/>
      <c r="D9" s="188">
        <f>('Historic Model'!F7/'Historic Model'!E7)-1</f>
        <v>0.20706857982571902</v>
      </c>
      <c r="E9" s="188">
        <f>('Historic Model'!G7/'Historic Model'!F7)-1</f>
        <v>7.7928522989858973E-2</v>
      </c>
      <c r="F9" s="226">
        <v>7.0000000000000007E-2</v>
      </c>
      <c r="G9" s="226">
        <v>6.5000000000000002E-2</v>
      </c>
      <c r="H9" s="226">
        <v>0.06</v>
      </c>
      <c r="I9" s="226">
        <v>5.5E-2</v>
      </c>
      <c r="J9" s="226">
        <v>5.5E-2</v>
      </c>
    </row>
    <row r="10" spans="1:10" ht="15">
      <c r="A10" s="169" t="s">
        <v>189</v>
      </c>
      <c r="B10" s="169"/>
      <c r="C10" s="188">
        <f>Ratios!B11</f>
        <v>0.26615578751034907</v>
      </c>
      <c r="D10" s="188">
        <f>Ratios!C11</f>
        <v>0.29689718324354886</v>
      </c>
      <c r="E10" s="188">
        <f>Ratios!D11</f>
        <v>0.29704603271141106</v>
      </c>
      <c r="F10" s="226">
        <v>0.28999999999999998</v>
      </c>
      <c r="G10" s="226">
        <v>0.28799999999999998</v>
      </c>
      <c r="H10" s="226">
        <v>0.28499999999999998</v>
      </c>
      <c r="I10" s="226">
        <v>0.28499999999999998</v>
      </c>
      <c r="J10" s="226">
        <v>0.28499999999999998</v>
      </c>
    </row>
    <row r="11" spans="1:10" ht="15">
      <c r="A11" s="169" t="s">
        <v>203</v>
      </c>
      <c r="B11" s="169"/>
      <c r="C11" s="227">
        <f>-'Historic Model'!E12</f>
        <v>203975</v>
      </c>
      <c r="D11" s="227">
        <f>-'Historic Model'!F12</f>
        <v>240655</v>
      </c>
      <c r="E11" s="227">
        <f>-'Historic Model'!G12</f>
        <v>259205</v>
      </c>
      <c r="F11" s="228">
        <f>F12*Forecasting!F6</f>
        <v>274876.40880000003</v>
      </c>
      <c r="G11" s="228">
        <f>G12*Forecasting!G6</f>
        <v>289258.335189</v>
      </c>
      <c r="H11" s="228">
        <f>H12*Forecasting!H6</f>
        <v>304766.76400335005</v>
      </c>
      <c r="I11" s="228">
        <f>I12*Forecasting!I6</f>
        <v>321528.93602353428</v>
      </c>
      <c r="J11" s="228">
        <f>J12*Forecasting!J6</f>
        <v>339213.02750482864</v>
      </c>
    </row>
    <row r="12" spans="1:10" ht="15">
      <c r="A12" s="169" t="s">
        <v>204</v>
      </c>
      <c r="B12" s="169"/>
      <c r="C12" s="229">
        <f>-'Historic Model'!E12/'Historic Model'!E7</f>
        <v>0.17356191857076367</v>
      </c>
      <c r="D12" s="229">
        <f>-'Historic Model'!F12/'Historic Model'!F7</f>
        <v>0.16964475793433162</v>
      </c>
      <c r="E12" s="229">
        <f>-'Historic Model'!G12/'Historic Model'!G7</f>
        <v>0.16951142152727366</v>
      </c>
      <c r="F12" s="236">
        <v>0.16800000000000001</v>
      </c>
      <c r="G12" s="236">
        <v>0.16600000000000001</v>
      </c>
      <c r="H12" s="236">
        <v>0.16500000000000001</v>
      </c>
      <c r="I12" s="236">
        <v>0.16500000000000001</v>
      </c>
      <c r="J12" s="236">
        <v>0.16500000000000001</v>
      </c>
    </row>
    <row r="13" spans="1:10" ht="15">
      <c r="A13" s="169" t="s">
        <v>190</v>
      </c>
      <c r="B13" s="169"/>
      <c r="C13" s="188">
        <f>('Historic Model'!E16/'Historic Model'!E7)*-1</f>
        <v>2.4023403098459961E-2</v>
      </c>
      <c r="D13" s="188">
        <f>('Historic Model'!F16/'Historic Model'!F7)*-1</f>
        <v>2.1305077887637091E-2</v>
      </c>
      <c r="E13" s="188">
        <f>('Historic Model'!G16/'Historic Model'!G7)*-1</f>
        <v>2.0660767887622375E-2</v>
      </c>
      <c r="F13" s="236">
        <f>E13</f>
        <v>2.0660767887622375E-2</v>
      </c>
      <c r="G13" s="236">
        <f t="shared" ref="G13:J13" si="0">F13</f>
        <v>2.0660767887622375E-2</v>
      </c>
      <c r="H13" s="236">
        <f t="shared" si="0"/>
        <v>2.0660767887622375E-2</v>
      </c>
      <c r="I13" s="236">
        <f t="shared" si="0"/>
        <v>2.0660767887622375E-2</v>
      </c>
      <c r="J13" s="236">
        <f t="shared" si="0"/>
        <v>2.0660767887622375E-2</v>
      </c>
    </row>
    <row r="14" spans="1:10" ht="15">
      <c r="A14" s="169" t="s">
        <v>191</v>
      </c>
      <c r="B14" s="169"/>
      <c r="C14" s="188">
        <f>(-'Historic Model'!E20/Forecasting!C141)*0.1</f>
        <v>0.16586666666666669</v>
      </c>
      <c r="D14" s="188">
        <f>(-'Historic Model'!F20/Forecasting!D141)*0.1</f>
        <v>0.1188923076923077</v>
      </c>
      <c r="E14" s="188">
        <f>(-'Historic Model'!G20/Forecasting!E141)*0.1</f>
        <v>9.8445067550344129E-2</v>
      </c>
      <c r="F14" s="236">
        <v>0.11</v>
      </c>
      <c r="G14" s="236">
        <v>0.11</v>
      </c>
      <c r="H14" s="236">
        <v>0.11</v>
      </c>
      <c r="I14" s="236">
        <v>0.11</v>
      </c>
      <c r="J14" s="236">
        <v>0.11</v>
      </c>
    </row>
    <row r="15" spans="1:10" ht="15">
      <c r="A15" s="169" t="s">
        <v>192</v>
      </c>
      <c r="B15" s="169"/>
      <c r="C15" s="188">
        <f>-'Historic Model'!E26/'Historic Model'!E21</f>
        <v>0.26802591463414632</v>
      </c>
      <c r="D15" s="188">
        <f>-'Historic Model'!F26/'Historic Model'!F21</f>
        <v>0.25821801931748484</v>
      </c>
      <c r="E15" s="188">
        <f>-'Historic Model'!G26/'Historic Model'!G21</f>
        <v>0.32372920188491144</v>
      </c>
      <c r="F15" s="236">
        <v>0.26</v>
      </c>
      <c r="G15" s="236">
        <v>0.26</v>
      </c>
      <c r="H15" s="236">
        <v>0.26</v>
      </c>
      <c r="I15" s="236">
        <v>0.26</v>
      </c>
      <c r="J15" s="236">
        <v>0.26</v>
      </c>
    </row>
    <row r="16" spans="1:10" ht="15">
      <c r="A16" s="169" t="s">
        <v>240</v>
      </c>
      <c r="B16" s="167"/>
      <c r="C16" s="230"/>
      <c r="D16" s="230"/>
      <c r="E16" s="230"/>
      <c r="F16" s="240">
        <f>F15*Forecasting!F18</f>
        <v>45992.748958034441</v>
      </c>
      <c r="G16" s="240">
        <f>G15*Forecasting!G18</f>
        <v>49959.140857860002</v>
      </c>
      <c r="H16" s="240">
        <f>H15*Forecasting!H18</f>
        <v>50056.240204035021</v>
      </c>
      <c r="I16" s="240">
        <f>I15*Forecasting!I18</f>
        <v>51798.861501728199</v>
      </c>
      <c r="J16" s="240">
        <f>J15*Forecasting!J18</f>
        <v>53047.077790664029</v>
      </c>
    </row>
    <row r="17" spans="1:10" ht="15">
      <c r="A17" s="166" t="s">
        <v>3</v>
      </c>
      <c r="B17" s="166"/>
      <c r="C17" s="231"/>
      <c r="D17" s="222"/>
      <c r="E17" s="222"/>
      <c r="F17" s="241"/>
      <c r="G17" s="241"/>
      <c r="H17" s="241"/>
      <c r="I17" s="241"/>
      <c r="J17" s="241"/>
    </row>
    <row r="18" spans="1:10" ht="15">
      <c r="A18" s="169" t="s">
        <v>193</v>
      </c>
      <c r="B18" s="177" t="s">
        <v>194</v>
      </c>
      <c r="C18" s="217">
        <f>Forecasting!C6/Forecasting!C38</f>
        <v>7.0514022056088228</v>
      </c>
      <c r="D18" s="217">
        <f>Forecasting!D6/Forecasting!D38</f>
        <v>8.138084146999093</v>
      </c>
      <c r="E18" s="217">
        <f>Forecasting!E6/Forecasting!E38</f>
        <v>6.4688935705764399</v>
      </c>
      <c r="F18" s="234">
        <v>6</v>
      </c>
      <c r="G18" s="234">
        <v>6</v>
      </c>
      <c r="H18" s="234">
        <v>6</v>
      </c>
      <c r="I18" s="234">
        <v>6</v>
      </c>
      <c r="J18" s="234">
        <v>6</v>
      </c>
    </row>
    <row r="19" spans="1:10" ht="15">
      <c r="A19" s="169" t="s">
        <v>195</v>
      </c>
      <c r="B19" s="177" t="s">
        <v>196</v>
      </c>
      <c r="C19" s="232">
        <f>Ratios!B24</f>
        <v>10.236022085908363</v>
      </c>
      <c r="D19" s="232">
        <f>Ratios!C24</f>
        <v>11.83910764411222</v>
      </c>
      <c r="E19" s="232">
        <f>Ratios!D24</f>
        <v>15.605347485171306</v>
      </c>
      <c r="F19" s="235">
        <v>15</v>
      </c>
      <c r="G19" s="235">
        <v>15</v>
      </c>
      <c r="H19" s="235">
        <v>15</v>
      </c>
      <c r="I19" s="235">
        <v>15</v>
      </c>
      <c r="J19" s="235">
        <v>15</v>
      </c>
    </row>
    <row r="20" spans="1:10" ht="15">
      <c r="A20" s="169" t="s">
        <v>197</v>
      </c>
      <c r="B20" s="177" t="s">
        <v>196</v>
      </c>
      <c r="C20" s="232">
        <f>Ratios!B26</f>
        <v>18.12991123968763</v>
      </c>
      <c r="D20" s="232">
        <f>Ratios!C26</f>
        <v>15.075600881884965</v>
      </c>
      <c r="E20" s="232">
        <f>Ratios!D26</f>
        <v>17.395860855068527</v>
      </c>
      <c r="F20" s="235">
        <v>17</v>
      </c>
      <c r="G20" s="235">
        <v>17</v>
      </c>
      <c r="H20" s="235">
        <v>17</v>
      </c>
      <c r="I20" s="235">
        <v>17</v>
      </c>
      <c r="J20" s="235">
        <v>17</v>
      </c>
    </row>
    <row r="21" spans="1:10" ht="15">
      <c r="A21" s="169" t="s">
        <v>198</v>
      </c>
      <c r="B21" s="177" t="s">
        <v>196</v>
      </c>
      <c r="C21" s="232">
        <f>('Historic Model'!S34/'Historic Model'!E8)*365*-1</f>
        <v>49.857044298990644</v>
      </c>
      <c r="D21" s="232">
        <f>('Historic Model'!T34/'Historic Model'!F8)*365*-1</f>
        <v>53.364026191863118</v>
      </c>
      <c r="E21" s="232">
        <f>('Historic Model'!U34/'Historic Model'!G8)*365*-1</f>
        <v>59.155774261611221</v>
      </c>
      <c r="F21" s="235">
        <v>57</v>
      </c>
      <c r="G21" s="235">
        <v>57</v>
      </c>
      <c r="H21" s="235">
        <v>57</v>
      </c>
      <c r="I21" s="235">
        <v>57</v>
      </c>
      <c r="J21" s="235">
        <v>57</v>
      </c>
    </row>
    <row r="22" spans="1:10" ht="15">
      <c r="A22" s="169" t="s">
        <v>199</v>
      </c>
      <c r="B22" s="169"/>
      <c r="C22" s="188">
        <f>('Historic Model'!S37/'Historic Model'!E26)*-1</f>
        <v>0.54817763875065173</v>
      </c>
      <c r="D22" s="188">
        <f>('Historic Model'!T37/'Historic Model'!F26)*-1</f>
        <v>0.3140172278778387</v>
      </c>
      <c r="E22" s="188">
        <f>('Historic Model'!U37/'Historic Model'!G26)*-1</f>
        <v>0.24363045141545525</v>
      </c>
      <c r="F22" s="236">
        <v>0.25</v>
      </c>
      <c r="G22" s="236">
        <v>0.25</v>
      </c>
      <c r="H22" s="236">
        <v>0.25</v>
      </c>
      <c r="I22" s="236">
        <v>0.25</v>
      </c>
      <c r="J22" s="236">
        <v>0.25</v>
      </c>
    </row>
    <row r="23" spans="1:10" ht="15">
      <c r="A23" s="169" t="s">
        <v>200</v>
      </c>
      <c r="B23" s="169"/>
      <c r="C23" s="233">
        <f>Forecasting!C49</f>
        <v>1125</v>
      </c>
      <c r="D23" s="233">
        <f>Forecasting!D49</f>
        <v>2125</v>
      </c>
      <c r="E23" s="233">
        <f>Forecasting!E49</f>
        <v>1798</v>
      </c>
      <c r="F23" s="239">
        <v>1800</v>
      </c>
      <c r="G23" s="239">
        <v>1800</v>
      </c>
      <c r="H23" s="239">
        <v>1800</v>
      </c>
      <c r="I23" s="239">
        <v>1800</v>
      </c>
      <c r="J23" s="239">
        <v>1800</v>
      </c>
    </row>
    <row r="24" spans="1:10" ht="15">
      <c r="A24" s="169" t="s">
        <v>201</v>
      </c>
      <c r="B24" s="169"/>
      <c r="C24" s="233">
        <f>'Historic Model'!S51</f>
        <v>1510</v>
      </c>
      <c r="D24" s="233">
        <f>'Historic Model'!T51</f>
        <v>1572</v>
      </c>
      <c r="E24" s="233">
        <f>'Historic Model'!U51</f>
        <v>1572</v>
      </c>
      <c r="F24" s="239">
        <f>E24</f>
        <v>1572</v>
      </c>
      <c r="G24" s="239">
        <f t="shared" ref="G24:J24" si="1">F24</f>
        <v>1572</v>
      </c>
      <c r="H24" s="239">
        <f t="shared" si="1"/>
        <v>1572</v>
      </c>
      <c r="I24" s="239">
        <f t="shared" si="1"/>
        <v>1572</v>
      </c>
      <c r="J24" s="239">
        <f t="shared" si="1"/>
        <v>1572</v>
      </c>
    </row>
    <row r="25" spans="1:10" ht="15">
      <c r="A25" s="169" t="s">
        <v>202</v>
      </c>
      <c r="B25" s="169"/>
      <c r="C25" s="188">
        <f>C26/'Historic Model'!E29</f>
        <v>0.31455545721178041</v>
      </c>
      <c r="D25" s="188">
        <f>D26/'Historic Model'!F29</f>
        <v>0.24703551924981601</v>
      </c>
      <c r="E25" s="188">
        <f>E26/'Historic Model'!G29</f>
        <v>0.35984727092928498</v>
      </c>
      <c r="F25" s="236">
        <v>0.3</v>
      </c>
      <c r="G25" s="236">
        <v>0.3</v>
      </c>
      <c r="H25" s="236">
        <v>0.3</v>
      </c>
      <c r="I25" s="236">
        <v>0.3</v>
      </c>
      <c r="J25" s="236">
        <v>0.3</v>
      </c>
    </row>
    <row r="26" spans="1:10" ht="15">
      <c r="A26" s="169" t="s">
        <v>253</v>
      </c>
      <c r="C26" s="227">
        <f>-'Historic Model'!K44</f>
        <v>18125</v>
      </c>
      <c r="D26" s="227">
        <f>-'Historic Model'!L44</f>
        <v>27187</v>
      </c>
      <c r="E26" s="227">
        <f>-'Historic Model'!M44</f>
        <v>39300</v>
      </c>
      <c r="F26" s="240">
        <f>F27*F25</f>
        <v>39270.731802629401</v>
      </c>
      <c r="G26" s="240">
        <f t="shared" ref="G26:J26" si="2">G27*G25</f>
        <v>42657.420270941999</v>
      </c>
      <c r="H26" s="240">
        <f t="shared" si="2"/>
        <v>42740.328174214512</v>
      </c>
      <c r="I26" s="240">
        <f t="shared" si="2"/>
        <v>44228.258666860238</v>
      </c>
      <c r="J26" s="240">
        <f t="shared" si="2"/>
        <v>45294.043344336205</v>
      </c>
    </row>
    <row r="27" spans="1:10" ht="15">
      <c r="A27" s="169" t="s">
        <v>8</v>
      </c>
      <c r="C27" s="238">
        <f>Forecasting!C21</f>
        <v>57621</v>
      </c>
      <c r="D27" s="238">
        <f>Forecasting!D21</f>
        <v>110053</v>
      </c>
      <c r="E27" s="238">
        <f>Forecasting!E21</f>
        <v>109213</v>
      </c>
      <c r="F27" s="242">
        <f>Forecasting!F21</f>
        <v>130902.43934209802</v>
      </c>
      <c r="G27" s="242">
        <f>Forecasting!G21</f>
        <v>142191.40090313999</v>
      </c>
      <c r="H27" s="242">
        <f>Forecasting!H21</f>
        <v>142467.76058071505</v>
      </c>
      <c r="I27" s="242">
        <f>Forecasting!I21</f>
        <v>147427.52888953412</v>
      </c>
      <c r="J27" s="242">
        <f>Forecasting!J21</f>
        <v>150980.14448112069</v>
      </c>
    </row>
    <row r="28" spans="1:10" ht="15">
      <c r="A28" s="169" t="s">
        <v>258</v>
      </c>
      <c r="F28" s="237">
        <v>5000</v>
      </c>
      <c r="G28" s="237">
        <v>5000</v>
      </c>
      <c r="H28" s="237">
        <v>5000</v>
      </c>
      <c r="I28" s="237">
        <v>5000</v>
      </c>
      <c r="J28" s="237">
        <v>5000</v>
      </c>
    </row>
    <row r="29" spans="1:10" ht="15">
      <c r="A29" s="169" t="s">
        <v>259</v>
      </c>
      <c r="F29" s="237">
        <v>77453.585359784774</v>
      </c>
      <c r="G29" s="237">
        <v>120329.34784569312</v>
      </c>
      <c r="H29" s="237">
        <v>165074.45765889948</v>
      </c>
      <c r="I29" s="237">
        <v>214714.80089740246</v>
      </c>
      <c r="J29" s="237">
        <v>263858.84551902185</v>
      </c>
    </row>
    <row r="30" spans="1:10" ht="15">
      <c r="A30" s="169" t="s">
        <v>260</v>
      </c>
      <c r="F30" s="237">
        <f>MAX(0,F29-F28)</f>
        <v>72453.585359784774</v>
      </c>
      <c r="G30" s="237">
        <f t="shared" ref="G30:J30" si="3">MAX(0,G29-G28)</f>
        <v>115329.34784569312</v>
      </c>
      <c r="H30" s="237">
        <f t="shared" si="3"/>
        <v>160074.45765889948</v>
      </c>
      <c r="I30" s="237">
        <f t="shared" si="3"/>
        <v>209714.80089740246</v>
      </c>
      <c r="J30" s="237">
        <f t="shared" si="3"/>
        <v>258858.84551902185</v>
      </c>
    </row>
    <row r="31" spans="1:10" ht="15">
      <c r="A31" s="169" t="s">
        <v>211</v>
      </c>
      <c r="F31" s="237"/>
      <c r="G31" s="237"/>
      <c r="H31" s="237"/>
      <c r="I31" s="237"/>
      <c r="J31" s="237"/>
    </row>
    <row r="32" spans="1:10" ht="15">
      <c r="A32" s="169"/>
      <c r="F32" s="237"/>
      <c r="G32" s="237"/>
      <c r="H32" s="237"/>
      <c r="I32" s="237"/>
      <c r="J32" s="23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37BC-374F-45D9-94A9-21F446235F1B}">
  <dimension ref="A2:X161"/>
  <sheetViews>
    <sheetView showGridLines="0" zoomScale="70" zoomScaleNormal="70" workbookViewId="0">
      <selection activeCell="O70" sqref="O70"/>
    </sheetView>
  </sheetViews>
  <sheetFormatPr defaultRowHeight="14.4" outlineLevelRow="1"/>
  <cols>
    <col min="1" max="1" width="38.33203125" bestFit="1" customWidth="1"/>
    <col min="3" max="3" width="10.77734375" bestFit="1" customWidth="1"/>
    <col min="4" max="5" width="11.21875" bestFit="1" customWidth="1"/>
    <col min="6" max="6" width="11.88671875" bestFit="1" customWidth="1"/>
    <col min="7" max="9" width="11.21875" bestFit="1" customWidth="1"/>
    <col min="10" max="10" width="12.33203125" bestFit="1" customWidth="1"/>
    <col min="13" max="13" width="8.33203125" bestFit="1" customWidth="1"/>
    <col min="16" max="16" width="22" bestFit="1" customWidth="1"/>
    <col min="17" max="17" width="11.88671875" bestFit="1" customWidth="1"/>
    <col min="18" max="19" width="13" bestFit="1" customWidth="1"/>
    <col min="20" max="21" width="12.33203125" bestFit="1" customWidth="1"/>
    <col min="22" max="24" width="13.44140625" bestFit="1" customWidth="1"/>
  </cols>
  <sheetData>
    <row r="2" spans="1:24" ht="21">
      <c r="A2" s="163" t="s">
        <v>1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24" ht="21">
      <c r="A3" s="164"/>
      <c r="B3" s="164"/>
      <c r="C3" s="164"/>
      <c r="D3" s="164"/>
      <c r="E3" s="164"/>
      <c r="F3" s="164"/>
      <c r="G3" s="164"/>
      <c r="H3" s="164"/>
      <c r="I3" s="164"/>
      <c r="J3" s="164"/>
    </row>
    <row r="4" spans="1:24" ht="15" hidden="1" outlineLevel="1">
      <c r="A4" s="117" t="s">
        <v>56</v>
      </c>
      <c r="B4" s="165"/>
      <c r="C4" s="176" t="s">
        <v>178</v>
      </c>
      <c r="D4" s="176" t="s">
        <v>179</v>
      </c>
      <c r="E4" s="176" t="s">
        <v>180</v>
      </c>
      <c r="F4" s="176" t="s">
        <v>181</v>
      </c>
      <c r="G4" s="176" t="s">
        <v>182</v>
      </c>
      <c r="H4" s="176" t="s">
        <v>183</v>
      </c>
      <c r="I4" s="176" t="s">
        <v>184</v>
      </c>
      <c r="J4" s="176" t="s">
        <v>185</v>
      </c>
    </row>
    <row r="5" spans="1:24" ht="15" hidden="1" outlineLevel="1">
      <c r="A5" s="166"/>
      <c r="B5" s="166"/>
      <c r="C5" s="167"/>
      <c r="D5" s="167"/>
      <c r="E5" s="167"/>
      <c r="F5" s="168"/>
      <c r="G5" s="168"/>
      <c r="H5" s="168"/>
      <c r="I5" s="168"/>
      <c r="J5" s="168"/>
    </row>
    <row r="6" spans="1:24" ht="15" hidden="1" outlineLevel="1">
      <c r="A6" s="169" t="s">
        <v>170</v>
      </c>
      <c r="B6" s="169"/>
      <c r="C6" s="211">
        <f>'Historic Model'!E7</f>
        <v>1175229</v>
      </c>
      <c r="D6" s="211">
        <f>'Historic Model'!F7</f>
        <v>1418582</v>
      </c>
      <c r="E6" s="211">
        <f>'Historic Model'!G7</f>
        <v>1529130</v>
      </c>
      <c r="F6" s="178">
        <f>E6*(1+'Assumptions and Drivers'!F9)</f>
        <v>1636169.1</v>
      </c>
      <c r="G6" s="178">
        <f>F6*(1+'Assumptions and Drivers'!G9)</f>
        <v>1742520.0915000001</v>
      </c>
      <c r="H6" s="178">
        <f>G6*(1+'Assumptions and Drivers'!H9)</f>
        <v>1847071.2969900002</v>
      </c>
      <c r="I6" s="178">
        <f>H6*(1+'Assumptions and Drivers'!I9)</f>
        <v>1948660.2183244501</v>
      </c>
      <c r="J6" s="178">
        <f>I6*(1+'Assumptions and Drivers'!J9)</f>
        <v>2055836.5303322948</v>
      </c>
    </row>
    <row r="7" spans="1:24" ht="15" hidden="1" outlineLevel="1">
      <c r="A7" s="169" t="s">
        <v>171</v>
      </c>
      <c r="B7" s="169"/>
      <c r="C7" s="219">
        <f>'Historic Model'!E8</f>
        <v>-862435</v>
      </c>
      <c r="D7" s="219">
        <f>'Historic Model'!F8</f>
        <v>-997409</v>
      </c>
      <c r="E7" s="219">
        <f>'Historic Model'!G8</f>
        <v>-1074908</v>
      </c>
      <c r="F7" s="180">
        <f>-(1-'Assumptions and Drivers'!D10)*Forecasting!F6</f>
        <v>-1150395.1028998676</v>
      </c>
      <c r="G7" s="180">
        <f>-(1-'Assumptions and Drivers'!E10)*Forecasting!G6</f>
        <v>-1224911.4114000001</v>
      </c>
      <c r="H7" s="180">
        <f>-(1-'Assumptions and Drivers'!F10)*Forecasting!H6</f>
        <v>-1311420.6208629</v>
      </c>
      <c r="I7" s="180">
        <f>-(1-'Assumptions and Drivers'!G10)*Forecasting!I6</f>
        <v>-1387446.0754470085</v>
      </c>
      <c r="J7" s="180">
        <f>-(1-'Assumptions and Drivers'!H10)*Forecasting!J6</f>
        <v>-1469923.1191875909</v>
      </c>
    </row>
    <row r="8" spans="1:24" ht="15" hidden="1" outlineLevel="1">
      <c r="A8" s="172" t="s">
        <v>13</v>
      </c>
      <c r="B8" s="172"/>
      <c r="C8" s="216">
        <f>SUM(C6:C7)</f>
        <v>312794</v>
      </c>
      <c r="D8" s="216">
        <f t="shared" ref="D8:E8" si="0">SUM(D6:D7)</f>
        <v>421173</v>
      </c>
      <c r="E8" s="216">
        <f t="shared" si="0"/>
        <v>454222</v>
      </c>
      <c r="F8" s="216">
        <f>SUM(F6:F7)</f>
        <v>485773.99710013252</v>
      </c>
      <c r="G8" s="216">
        <f t="shared" ref="G8:J8" si="1">SUM(G6:G7)</f>
        <v>517608.6801</v>
      </c>
      <c r="H8" s="216">
        <f t="shared" si="1"/>
        <v>535650.67612710013</v>
      </c>
      <c r="I8" s="216">
        <f t="shared" si="1"/>
        <v>561214.1428774416</v>
      </c>
      <c r="J8" s="216">
        <f t="shared" si="1"/>
        <v>585913.41114470386</v>
      </c>
    </row>
    <row r="9" spans="1:24" ht="15" hidden="1" outlineLevel="1">
      <c r="A9" s="172"/>
      <c r="B9" s="172"/>
      <c r="C9" s="245"/>
      <c r="D9" s="245"/>
      <c r="E9" s="245"/>
      <c r="F9" s="245"/>
      <c r="G9" s="245"/>
      <c r="H9" s="245"/>
      <c r="I9" s="245"/>
      <c r="J9" s="245"/>
      <c r="Q9" s="176" t="s">
        <v>178</v>
      </c>
      <c r="R9" s="176" t="s">
        <v>179</v>
      </c>
      <c r="S9" s="176" t="s">
        <v>180</v>
      </c>
      <c r="T9" s="176" t="s">
        <v>181</v>
      </c>
      <c r="U9" s="176" t="s">
        <v>182</v>
      </c>
      <c r="V9" s="176" t="s">
        <v>183</v>
      </c>
      <c r="W9" s="176" t="s">
        <v>184</v>
      </c>
      <c r="X9" s="176" t="s">
        <v>185</v>
      </c>
    </row>
    <row r="10" spans="1:24" ht="15" hidden="1" outlineLevel="1">
      <c r="A10" s="169" t="s">
        <v>20</v>
      </c>
      <c r="B10" s="169"/>
      <c r="C10" s="219">
        <f>'Historic Model'!E12</f>
        <v>-203975</v>
      </c>
      <c r="D10" s="219">
        <f>'Historic Model'!F12</f>
        <v>-240655</v>
      </c>
      <c r="E10" s="219">
        <f>'Historic Model'!G12</f>
        <v>-259205</v>
      </c>
      <c r="F10" s="181">
        <f>-'Assumptions and Drivers'!F11</f>
        <v>-274876.40880000003</v>
      </c>
      <c r="G10" s="181">
        <f>-'Assumptions and Drivers'!G11</f>
        <v>-289258.335189</v>
      </c>
      <c r="H10" s="181">
        <f>-'Assumptions and Drivers'!H11</f>
        <v>-304766.76400335005</v>
      </c>
      <c r="I10" s="181">
        <f>-'Assumptions and Drivers'!I11</f>
        <v>-321528.93602353428</v>
      </c>
      <c r="J10" s="181">
        <f>-'Assumptions and Drivers'!J11</f>
        <v>-339213.02750482864</v>
      </c>
      <c r="P10" t="s">
        <v>256</v>
      </c>
      <c r="Q10" s="237">
        <v>7000</v>
      </c>
      <c r="R10" s="237">
        <v>50000</v>
      </c>
      <c r="S10" s="237">
        <v>50000</v>
      </c>
      <c r="T10" s="237">
        <v>50000</v>
      </c>
      <c r="U10" s="237">
        <v>50000</v>
      </c>
      <c r="V10" s="237">
        <v>50000</v>
      </c>
      <c r="W10" s="237">
        <v>50000</v>
      </c>
      <c r="X10" s="237">
        <v>50000</v>
      </c>
    </row>
    <row r="11" spans="1:24" ht="15" hidden="1" outlineLevel="1">
      <c r="A11" s="172" t="s">
        <v>24</v>
      </c>
      <c r="B11" s="169"/>
      <c r="C11" s="216">
        <f>SUM(C8:C10)</f>
        <v>108819</v>
      </c>
      <c r="D11" s="216">
        <f t="shared" ref="D11:J11" si="2">SUM(D8:D10)</f>
        <v>180518</v>
      </c>
      <c r="E11" s="216">
        <f t="shared" si="2"/>
        <v>195017</v>
      </c>
      <c r="F11" s="216">
        <f t="shared" si="2"/>
        <v>210897.58830013248</v>
      </c>
      <c r="G11" s="216">
        <f t="shared" si="2"/>
        <v>228350.34491099999</v>
      </c>
      <c r="H11" s="216">
        <f t="shared" si="2"/>
        <v>230883.91212375008</v>
      </c>
      <c r="I11" s="216">
        <f t="shared" si="2"/>
        <v>239685.20685390732</v>
      </c>
      <c r="J11" s="216">
        <f t="shared" si="2"/>
        <v>246700.38363987522</v>
      </c>
      <c r="P11" t="s">
        <v>257</v>
      </c>
      <c r="Q11" s="237">
        <f>C31-Q10</f>
        <v>-6666</v>
      </c>
      <c r="R11" s="237">
        <f t="shared" ref="R11:X11" si="3">D31-R10</f>
        <v>-45443</v>
      </c>
      <c r="S11" s="237">
        <f t="shared" si="3"/>
        <v>-49220</v>
      </c>
      <c r="T11" s="237">
        <f t="shared" si="3"/>
        <v>-45000</v>
      </c>
      <c r="U11" s="237">
        <f t="shared" si="3"/>
        <v>-45000</v>
      </c>
      <c r="V11" s="237">
        <f t="shared" si="3"/>
        <v>-45000</v>
      </c>
      <c r="W11" s="237">
        <f t="shared" si="3"/>
        <v>-45000</v>
      </c>
      <c r="X11" s="237">
        <f t="shared" si="3"/>
        <v>-45000</v>
      </c>
    </row>
    <row r="12" spans="1:24" ht="15" hidden="1" outlineLevel="1">
      <c r="A12" s="172"/>
      <c r="B12" s="169"/>
      <c r="C12" s="219"/>
      <c r="D12" s="219"/>
      <c r="E12" s="219"/>
      <c r="F12" s="219"/>
      <c r="G12" s="219"/>
      <c r="H12" s="219"/>
      <c r="I12" s="219"/>
      <c r="J12" s="219"/>
    </row>
    <row r="13" spans="1:24" ht="15" hidden="1" outlineLevel="1">
      <c r="A13" s="169" t="s">
        <v>172</v>
      </c>
      <c r="B13" s="169"/>
      <c r="C13" s="219">
        <v>0</v>
      </c>
      <c r="D13" s="219">
        <v>0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219">
        <v>0</v>
      </c>
    </row>
    <row r="14" spans="1:24" ht="15" hidden="1" outlineLevel="1">
      <c r="A14" s="169" t="s">
        <v>11</v>
      </c>
      <c r="B14" s="169"/>
      <c r="C14" s="219">
        <f>'Historic Model'!E16</f>
        <v>-28233</v>
      </c>
      <c r="D14" s="219">
        <f>'Historic Model'!F16</f>
        <v>-30223</v>
      </c>
      <c r="E14" s="219">
        <f>'Historic Model'!G16</f>
        <v>-31593</v>
      </c>
      <c r="F14" s="180">
        <f>F127</f>
        <v>-33804.51</v>
      </c>
      <c r="G14" s="180">
        <f t="shared" ref="G14:J14" si="4">G127</f>
        <v>-36001.803150000007</v>
      </c>
      <c r="H14" s="180">
        <f t="shared" si="4"/>
        <v>-38161.911339000006</v>
      </c>
      <c r="I14" s="180">
        <f t="shared" si="4"/>
        <v>-40260.816462645002</v>
      </c>
      <c r="J14" s="180">
        <f t="shared" si="4"/>
        <v>-42475.161368090477</v>
      </c>
    </row>
    <row r="15" spans="1:24" ht="15" hidden="1" outlineLevel="1">
      <c r="A15" s="172" t="s">
        <v>173</v>
      </c>
      <c r="B15" s="172"/>
      <c r="C15" s="216">
        <f>SUM(C11:C14)</f>
        <v>80586</v>
      </c>
      <c r="D15" s="216">
        <f t="shared" ref="D15:J15" si="5">SUM(D11:D14)</f>
        <v>150295</v>
      </c>
      <c r="E15" s="216">
        <f t="shared" si="5"/>
        <v>163424</v>
      </c>
      <c r="F15" s="216">
        <f t="shared" si="5"/>
        <v>177093.07830013247</v>
      </c>
      <c r="G15" s="216">
        <f t="shared" si="5"/>
        <v>192348.541761</v>
      </c>
      <c r="H15" s="216">
        <f t="shared" si="5"/>
        <v>192722.00078475007</v>
      </c>
      <c r="I15" s="216">
        <f t="shared" si="5"/>
        <v>199424.39039126231</v>
      </c>
      <c r="J15" s="216">
        <f t="shared" si="5"/>
        <v>204225.22227178473</v>
      </c>
    </row>
    <row r="16" spans="1:24" ht="15" hidden="1" outlineLevel="1">
      <c r="A16" s="172"/>
      <c r="B16" s="172"/>
      <c r="C16" s="245"/>
      <c r="D16" s="245"/>
      <c r="E16" s="245"/>
      <c r="F16" s="245"/>
      <c r="G16" s="245"/>
      <c r="H16" s="245"/>
      <c r="I16" s="245"/>
      <c r="J16" s="245"/>
    </row>
    <row r="17" spans="1:10" ht="15" hidden="1" outlineLevel="1">
      <c r="A17" s="169" t="s">
        <v>174</v>
      </c>
      <c r="B17" s="169"/>
      <c r="C17" s="211">
        <f>'Historic Model'!E20</f>
        <v>-1866</v>
      </c>
      <c r="D17" s="211">
        <f>'Historic Model'!F20</f>
        <v>-1932</v>
      </c>
      <c r="E17" s="211">
        <f>'Historic Model'!G20</f>
        <v>-1931</v>
      </c>
      <c r="F17" s="178">
        <f>-F144</f>
        <v>-197.89000000000001</v>
      </c>
      <c r="G17" s="178">
        <f t="shared" ref="G17:J17" si="6">-G144</f>
        <v>-198</v>
      </c>
      <c r="H17" s="178">
        <f t="shared" si="6"/>
        <v>-198</v>
      </c>
      <c r="I17" s="178">
        <f t="shared" si="6"/>
        <v>-198</v>
      </c>
      <c r="J17" s="178">
        <f t="shared" si="6"/>
        <v>-198</v>
      </c>
    </row>
    <row r="18" spans="1:10" ht="15" hidden="1" outlineLevel="1">
      <c r="A18" s="172" t="s">
        <v>175</v>
      </c>
      <c r="B18" s="169"/>
      <c r="C18" s="246">
        <f>SUM(C15:C17)</f>
        <v>78720</v>
      </c>
      <c r="D18" s="246">
        <f t="shared" ref="D18:J18" si="7">SUM(D15:D17)</f>
        <v>148363</v>
      </c>
      <c r="E18" s="246">
        <f t="shared" si="7"/>
        <v>161493</v>
      </c>
      <c r="F18" s="246">
        <f t="shared" si="7"/>
        <v>176895.18830013246</v>
      </c>
      <c r="G18" s="246">
        <f t="shared" si="7"/>
        <v>192150.541761</v>
      </c>
      <c r="H18" s="246">
        <f t="shared" si="7"/>
        <v>192524.00078475007</v>
      </c>
      <c r="I18" s="246">
        <f t="shared" si="7"/>
        <v>199226.39039126231</v>
      </c>
      <c r="J18" s="246">
        <f t="shared" si="7"/>
        <v>204027.22227178473</v>
      </c>
    </row>
    <row r="19" spans="1:10" ht="15" hidden="1" outlineLevel="1">
      <c r="A19" s="169"/>
      <c r="B19" s="169"/>
      <c r="C19" s="180"/>
      <c r="D19" s="180"/>
      <c r="E19" s="180"/>
      <c r="F19" s="180"/>
      <c r="G19" s="180"/>
      <c r="H19" s="180"/>
      <c r="I19" s="180"/>
      <c r="J19" s="180"/>
    </row>
    <row r="20" spans="1:10" ht="15" hidden="1" outlineLevel="1">
      <c r="A20" s="169" t="s">
        <v>176</v>
      </c>
      <c r="B20" s="169"/>
      <c r="C20" s="211">
        <f>'Historic Model'!E26</f>
        <v>-21099</v>
      </c>
      <c r="D20" s="211">
        <f>'Historic Model'!F26</f>
        <v>-38310</v>
      </c>
      <c r="E20" s="211">
        <f>'Historic Model'!G26</f>
        <v>-52280</v>
      </c>
      <c r="F20" s="178">
        <f>-F18*'Assumptions and Drivers'!F15</f>
        <v>-45992.748958034441</v>
      </c>
      <c r="G20" s="178">
        <f>-G18*'Assumptions and Drivers'!G15</f>
        <v>-49959.140857860002</v>
      </c>
      <c r="H20" s="178">
        <f>-H18*'Assumptions and Drivers'!H15</f>
        <v>-50056.240204035021</v>
      </c>
      <c r="I20" s="178">
        <f>-I18*'Assumptions and Drivers'!I15</f>
        <v>-51798.861501728199</v>
      </c>
      <c r="J20" s="178">
        <f>-J18*'Assumptions and Drivers'!J15</f>
        <v>-53047.077790664029</v>
      </c>
    </row>
    <row r="21" spans="1:10" ht="15.6" hidden="1" outlineLevel="1" thickBot="1">
      <c r="A21" s="172" t="s">
        <v>8</v>
      </c>
      <c r="B21" s="172"/>
      <c r="C21" s="247">
        <f>SUM(C18:C20)</f>
        <v>57621</v>
      </c>
      <c r="D21" s="247">
        <f t="shared" ref="D21:J21" si="8">SUM(D18:D20)</f>
        <v>110053</v>
      </c>
      <c r="E21" s="247">
        <f t="shared" si="8"/>
        <v>109213</v>
      </c>
      <c r="F21" s="247">
        <f>SUM(F18:F20)</f>
        <v>130902.43934209802</v>
      </c>
      <c r="G21" s="247">
        <f t="shared" si="8"/>
        <v>142191.40090313999</v>
      </c>
      <c r="H21" s="247">
        <f t="shared" si="8"/>
        <v>142467.76058071505</v>
      </c>
      <c r="I21" s="247">
        <f t="shared" si="8"/>
        <v>147427.52888953412</v>
      </c>
      <c r="J21" s="247">
        <f t="shared" si="8"/>
        <v>150980.14448112069</v>
      </c>
    </row>
    <row r="22" spans="1:10" ht="15" hidden="1" outlineLevel="1">
      <c r="A22" s="166"/>
      <c r="B22" s="166"/>
      <c r="C22" s="174"/>
      <c r="D22" s="174"/>
      <c r="E22" s="174"/>
      <c r="F22" s="175"/>
      <c r="G22" s="175"/>
      <c r="H22" s="175"/>
      <c r="I22" s="175"/>
      <c r="J22" s="175"/>
    </row>
    <row r="23" spans="1:10" ht="15" hidden="1" outlineLevel="1">
      <c r="A23" s="167" t="s">
        <v>177</v>
      </c>
      <c r="B23" s="167"/>
      <c r="C23" s="253">
        <f>'Assumptions and Drivers'!C26</f>
        <v>18125</v>
      </c>
      <c r="D23" s="253">
        <f>'Assumptions and Drivers'!D26</f>
        <v>27187</v>
      </c>
      <c r="E23" s="253">
        <f>'Assumptions and Drivers'!E26</f>
        <v>39300</v>
      </c>
      <c r="F23" s="253">
        <f>'Assumptions and Drivers'!F26</f>
        <v>39270.731802629401</v>
      </c>
      <c r="G23" s="253">
        <f>'Assumptions and Drivers'!G26</f>
        <v>42657.420270941999</v>
      </c>
      <c r="H23" s="253">
        <f>'Assumptions and Drivers'!H26</f>
        <v>42740.328174214512</v>
      </c>
      <c r="I23" s="253">
        <f>'Assumptions and Drivers'!I26</f>
        <v>44228.258666860238</v>
      </c>
      <c r="J23" s="253">
        <f>'Assumptions and Drivers'!J26</f>
        <v>45294.043344336205</v>
      </c>
    </row>
    <row r="24" spans="1:10" collapsed="1"/>
    <row r="26" spans="1:10" ht="21">
      <c r="A26" s="163" t="s">
        <v>3</v>
      </c>
      <c r="B26" s="163"/>
      <c r="C26" s="163"/>
      <c r="D26" s="163"/>
      <c r="E26" s="163"/>
      <c r="F26" s="163"/>
      <c r="G26" s="163"/>
      <c r="H26" s="163"/>
      <c r="I26" s="163"/>
      <c r="J26" s="163"/>
    </row>
    <row r="27" spans="1:10" ht="21">
      <c r="A27" s="164"/>
      <c r="B27" s="164"/>
      <c r="C27" s="164"/>
      <c r="D27" s="164"/>
      <c r="E27" s="164"/>
      <c r="F27" s="164"/>
      <c r="G27" s="164"/>
      <c r="H27" s="164"/>
      <c r="I27" s="164"/>
      <c r="J27" s="164"/>
    </row>
    <row r="28" spans="1:10" ht="15" hidden="1" outlineLevel="1">
      <c r="A28" s="117" t="s">
        <v>56</v>
      </c>
      <c r="B28" s="165"/>
      <c r="C28" s="176" t="s">
        <v>178</v>
      </c>
      <c r="D28" s="176" t="s">
        <v>179</v>
      </c>
      <c r="E28" s="176" t="s">
        <v>180</v>
      </c>
      <c r="F28" s="176" t="s">
        <v>181</v>
      </c>
      <c r="G28" s="176" t="s">
        <v>182</v>
      </c>
      <c r="H28" s="176" t="s">
        <v>183</v>
      </c>
      <c r="I28" s="176" t="s">
        <v>184</v>
      </c>
      <c r="J28" s="176" t="s">
        <v>185</v>
      </c>
    </row>
    <row r="29" spans="1:10" ht="15" hidden="1" outlineLevel="1">
      <c r="A29" s="165"/>
      <c r="B29" s="165"/>
      <c r="C29" s="182"/>
      <c r="D29" s="182"/>
      <c r="E29" s="182"/>
      <c r="F29" s="183"/>
      <c r="G29" s="183"/>
      <c r="H29" s="183"/>
      <c r="I29" s="183"/>
      <c r="J29" s="183"/>
    </row>
    <row r="30" spans="1:10" ht="15" hidden="1" outlineLevel="1">
      <c r="A30" s="166" t="s">
        <v>6</v>
      </c>
      <c r="B30" s="166"/>
      <c r="C30" s="184"/>
      <c r="D30" s="184"/>
      <c r="E30" s="184"/>
      <c r="F30" s="168"/>
      <c r="G30" s="168"/>
      <c r="H30" s="168"/>
      <c r="I30" s="168"/>
      <c r="J30" s="168"/>
    </row>
    <row r="31" spans="1:10" ht="15" hidden="1" outlineLevel="1">
      <c r="A31" s="169" t="s">
        <v>9</v>
      </c>
      <c r="B31" s="167"/>
      <c r="C31" s="211">
        <f>C88</f>
        <v>334</v>
      </c>
      <c r="D31" s="211">
        <f t="shared" ref="D31:E31" si="9">D88</f>
        <v>4557</v>
      </c>
      <c r="E31" s="211">
        <f t="shared" si="9"/>
        <v>780</v>
      </c>
      <c r="F31" s="254">
        <f>'Assumptions and Drivers'!F28</f>
        <v>5000</v>
      </c>
      <c r="G31" s="254">
        <f>'Assumptions and Drivers'!G28</f>
        <v>5000</v>
      </c>
      <c r="H31" s="254">
        <f>'Assumptions and Drivers'!H28</f>
        <v>5000</v>
      </c>
      <c r="I31" s="254">
        <f>'Assumptions and Drivers'!I28</f>
        <v>5000</v>
      </c>
      <c r="J31" s="254">
        <f>'Assumptions and Drivers'!J28</f>
        <v>5000</v>
      </c>
    </row>
    <row r="32" spans="1:10" ht="15" hidden="1" outlineLevel="1">
      <c r="A32" s="169" t="s">
        <v>205</v>
      </c>
      <c r="B32" s="167"/>
      <c r="C32" s="211">
        <f>'Historic Model'!S10</f>
        <v>32958</v>
      </c>
      <c r="D32" s="211">
        <f>'Historic Model'!T10</f>
        <v>46013</v>
      </c>
      <c r="E32" s="211">
        <f>'Historic Model'!U10</f>
        <v>65377</v>
      </c>
      <c r="F32" s="254">
        <f>(F6*F102)/365</f>
        <v>67239.826027397256</v>
      </c>
      <c r="G32" s="254">
        <f>(G6*G102)/365</f>
        <v>71610.414719178094</v>
      </c>
      <c r="H32" s="254">
        <f>(H6*H102)/365</f>
        <v>75907.039602328776</v>
      </c>
      <c r="I32" s="254">
        <f>(I6*I102)/365</f>
        <v>80081.926780456852</v>
      </c>
      <c r="J32" s="254">
        <f>(J6*J102)/365</f>
        <v>84486.432753381974</v>
      </c>
    </row>
    <row r="33" spans="1:13" ht="15" hidden="1" outlineLevel="1">
      <c r="A33" s="169" t="s">
        <v>206</v>
      </c>
      <c r="B33" s="167"/>
      <c r="C33" s="211">
        <f>'Historic Model'!S9</f>
        <v>42838</v>
      </c>
      <c r="D33" s="211">
        <f>'Historic Model'!T9</f>
        <v>41196</v>
      </c>
      <c r="E33" s="211">
        <f>'Historic Model'!U9</f>
        <v>51230</v>
      </c>
      <c r="F33" s="254">
        <f>(F99*F103)/365</f>
        <v>53580.045888486988</v>
      </c>
      <c r="G33" s="254">
        <f t="shared" ref="G33:J33" si="10">(G99*G103)/365</f>
        <v>57050.668476164392</v>
      </c>
      <c r="H33" s="254">
        <f t="shared" si="10"/>
        <v>61079.864533340551</v>
      </c>
      <c r="I33" s="254">
        <f t="shared" si="10"/>
        <v>64620.776116709982</v>
      </c>
      <c r="J33" s="254">
        <f t="shared" si="10"/>
        <v>68462.172674490532</v>
      </c>
    </row>
    <row r="34" spans="1:13" ht="15" hidden="1" outlineLevel="1">
      <c r="A34" s="169" t="s">
        <v>99</v>
      </c>
      <c r="B34" s="167"/>
      <c r="C34" s="211" t="str">
        <f>'Historic Model'!S11</f>
        <v>-</v>
      </c>
      <c r="D34" s="211">
        <f>'Historic Model'!T11</f>
        <v>39122</v>
      </c>
      <c r="E34" s="211">
        <f>'Historic Model'!U11</f>
        <v>55604</v>
      </c>
      <c r="F34" s="254">
        <f>(F6*5%)+('Assumptions and Drivers'!F30*40%)</f>
        <v>110789.88914391393</v>
      </c>
      <c r="G34" s="254">
        <f>(G6*5%)+('Assumptions and Drivers'!G30*40%)</f>
        <v>133257.74371327728</v>
      </c>
      <c r="H34" s="254">
        <f>(H6*5%)+('Assumptions and Drivers'!H30*40%)</f>
        <v>156383.34791305981</v>
      </c>
      <c r="I34" s="254">
        <f>(I6*5%)+('Assumptions and Drivers'!I30*40%)</f>
        <v>181318.93127518351</v>
      </c>
      <c r="J34" s="254">
        <f>(J6*5%)+('Assumptions and Drivers'!J30*40%)</f>
        <v>206335.3647242235</v>
      </c>
    </row>
    <row r="35" spans="1:13" ht="15" hidden="1" outlineLevel="1">
      <c r="A35" s="169" t="s">
        <v>98</v>
      </c>
      <c r="B35" s="167"/>
      <c r="C35" s="211">
        <f>'Historic Model'!S12</f>
        <v>39869</v>
      </c>
      <c r="D35" s="211">
        <f>'Historic Model'!T12</f>
        <v>46736</v>
      </c>
      <c r="E35" s="211">
        <f>'Historic Model'!U12</f>
        <v>59531</v>
      </c>
      <c r="F35" s="211">
        <f>(E35*(1+3%))+('Assumptions and Drivers'!F30*30%)</f>
        <v>83053.005607935425</v>
      </c>
      <c r="G35" s="211">
        <f>(F35*(1+3%))+('Assumptions and Drivers'!G30*20%)</f>
        <v>108610.46534531211</v>
      </c>
      <c r="H35" s="211">
        <f>(G35*(1+3%))+('Assumptions and Drivers'!H30*20%)</f>
        <v>143883.67083745135</v>
      </c>
      <c r="I35" s="211">
        <f>(H35*(1+3%))+('Assumptions and Drivers'!I30*20%)</f>
        <v>190143.14114205539</v>
      </c>
      <c r="J35" s="211">
        <f>(I35*(1+3%))+('Assumptions and Drivers'!J30*20%)</f>
        <v>247619.20448012144</v>
      </c>
    </row>
    <row r="36" spans="1:13" ht="15" hidden="1" outlineLevel="1">
      <c r="A36" s="169" t="s">
        <v>96</v>
      </c>
      <c r="B36" s="167"/>
      <c r="C36" s="216">
        <f>SUM(C31:C35)</f>
        <v>115999</v>
      </c>
      <c r="D36" s="216">
        <f t="shared" ref="D36:E36" si="11">SUM(D31:D35)</f>
        <v>177624</v>
      </c>
      <c r="E36" s="216">
        <f t="shared" si="11"/>
        <v>232522</v>
      </c>
      <c r="F36" s="216">
        <f>SUM(F31:F35)</f>
        <v>319662.76666773361</v>
      </c>
      <c r="G36" s="216">
        <f t="shared" ref="G36:J36" si="12">SUM(G31:G35)</f>
        <v>375529.29225393187</v>
      </c>
      <c r="H36" s="216">
        <f t="shared" si="12"/>
        <v>442253.92288618046</v>
      </c>
      <c r="I36" s="216">
        <f t="shared" si="12"/>
        <v>521164.77531440574</v>
      </c>
      <c r="J36" s="216">
        <f t="shared" si="12"/>
        <v>611903.1746322175</v>
      </c>
    </row>
    <row r="37" spans="1:13" ht="15" hidden="1" outlineLevel="1">
      <c r="A37" s="172"/>
      <c r="B37" s="166"/>
      <c r="C37" s="257"/>
      <c r="D37" s="257"/>
      <c r="E37" s="257"/>
      <c r="F37" s="186"/>
      <c r="G37" s="186"/>
      <c r="H37" s="186"/>
      <c r="I37" s="186"/>
      <c r="J37" s="186"/>
    </row>
    <row r="38" spans="1:13" ht="15" hidden="1" outlineLevel="1">
      <c r="A38" s="169" t="s">
        <v>207</v>
      </c>
      <c r="B38" s="167"/>
      <c r="C38" s="210">
        <f>'Historic Model'!S16</f>
        <v>166666</v>
      </c>
      <c r="D38" s="210">
        <f>'Historic Model'!T16</f>
        <v>174314</v>
      </c>
      <c r="E38" s="210">
        <f>'Historic Model'!U16</f>
        <v>236382</v>
      </c>
      <c r="F38" s="178">
        <f>F128</f>
        <v>272694.85000000003</v>
      </c>
      <c r="G38" s="178">
        <f t="shared" ref="G38:J38" si="13">G128</f>
        <v>290420.01525</v>
      </c>
      <c r="H38" s="178">
        <f t="shared" si="13"/>
        <v>307845.21616500005</v>
      </c>
      <c r="I38" s="178">
        <f t="shared" si="13"/>
        <v>324776.70305407501</v>
      </c>
      <c r="J38" s="178">
        <f t="shared" si="13"/>
        <v>342639.42172204913</v>
      </c>
      <c r="M38" s="252"/>
    </row>
    <row r="39" spans="1:13" ht="15" hidden="1" outlineLevel="1">
      <c r="A39" s="169" t="s">
        <v>214</v>
      </c>
      <c r="B39" s="167"/>
      <c r="C39" s="210">
        <f>SUM('Historic Model'!S17:S26)</f>
        <v>549122</v>
      </c>
      <c r="D39" s="210">
        <f>SUM('Historic Model'!T17:T26)</f>
        <v>750910</v>
      </c>
      <c r="E39" s="210">
        <f>SUM('Historic Model'!U17:U26)</f>
        <v>787298</v>
      </c>
      <c r="F39" s="178">
        <f>(F6*47%)+('Assumptions and Drivers'!F30*30%)</f>
        <v>790735.55260793539</v>
      </c>
      <c r="G39" s="178">
        <f>(G6*47%)+('Assumptions and Drivers'!G30*30%)</f>
        <v>853583.24735870794</v>
      </c>
      <c r="H39" s="178">
        <f>(H6*47%)+('Assumptions and Drivers'!H30*30%)</f>
        <v>916145.84688296984</v>
      </c>
      <c r="I39" s="178">
        <f>(I6*47%)+('Assumptions and Drivers'!I30*30%)</f>
        <v>978784.74288171227</v>
      </c>
      <c r="J39" s="178">
        <f>(J6*47%)+('Assumptions and Drivers'!J30*30%)</f>
        <v>1043900.822911885</v>
      </c>
    </row>
    <row r="40" spans="1:13" ht="15.6" hidden="1" outlineLevel="1" thickBot="1">
      <c r="A40" s="172" t="s">
        <v>208</v>
      </c>
      <c r="B40" s="166"/>
      <c r="C40" s="247">
        <f>SUM(C36:C39)</f>
        <v>831787</v>
      </c>
      <c r="D40" s="247">
        <f t="shared" ref="D40:E40" si="14">SUM(D36:D39)</f>
        <v>1102848</v>
      </c>
      <c r="E40" s="247">
        <f t="shared" si="14"/>
        <v>1256202</v>
      </c>
      <c r="F40" s="247">
        <f>SUM(F36:F39)</f>
        <v>1383093.1692756689</v>
      </c>
      <c r="G40" s="247">
        <f t="shared" ref="G40:J40" si="15">SUM(G36:G39)</f>
        <v>1519532.5548626399</v>
      </c>
      <c r="H40" s="247">
        <f t="shared" si="15"/>
        <v>1666244.9859341504</v>
      </c>
      <c r="I40" s="247">
        <f t="shared" si="15"/>
        <v>1824726.221250193</v>
      </c>
      <c r="J40" s="247">
        <f t="shared" si="15"/>
        <v>1998443.4192661517</v>
      </c>
    </row>
    <row r="41" spans="1:13" ht="15" hidden="1" outlineLevel="1">
      <c r="A41" s="167"/>
      <c r="B41" s="167"/>
      <c r="C41" s="255"/>
      <c r="D41" s="255"/>
      <c r="E41" s="255"/>
      <c r="F41" s="186"/>
      <c r="G41" s="186"/>
      <c r="H41" s="186"/>
      <c r="I41" s="186"/>
      <c r="J41" s="186"/>
    </row>
    <row r="42" spans="1:13" ht="15" hidden="1" outlineLevel="1">
      <c r="A42" s="166" t="s">
        <v>25</v>
      </c>
      <c r="B42" s="166"/>
      <c r="C42" s="255"/>
      <c r="D42" s="185"/>
      <c r="E42" s="185"/>
      <c r="F42" s="186"/>
      <c r="G42" s="186"/>
      <c r="H42" s="186"/>
      <c r="I42" s="186"/>
      <c r="J42" s="186"/>
    </row>
    <row r="43" spans="1:13" ht="15" hidden="1" outlineLevel="1">
      <c r="A43" s="169" t="s">
        <v>215</v>
      </c>
      <c r="B43" s="166"/>
      <c r="C43" s="210">
        <f>SUM('Historic Model'!S32:S33)</f>
        <v>12224</v>
      </c>
      <c r="D43" s="210">
        <f>SUM('Historic Model'!T32:T33)</f>
        <v>509</v>
      </c>
      <c r="E43" s="210">
        <f>SUM('Historic Model'!U32:U33)</f>
        <v>226</v>
      </c>
      <c r="F43" s="256">
        <f>E43*50%</f>
        <v>113</v>
      </c>
      <c r="G43" s="256">
        <f t="shared" ref="G43" si="16">F43*50%</f>
        <v>56.5</v>
      </c>
      <c r="H43" s="256">
        <v>0</v>
      </c>
      <c r="I43" s="256">
        <v>0</v>
      </c>
      <c r="J43" s="256">
        <v>0</v>
      </c>
    </row>
    <row r="44" spans="1:13" ht="15" hidden="1" outlineLevel="1">
      <c r="A44" s="169" t="s">
        <v>209</v>
      </c>
      <c r="B44" s="167"/>
      <c r="C44" s="210">
        <f>'Historic Model'!S34</f>
        <v>117804</v>
      </c>
      <c r="D44" s="210">
        <f>'Historic Model'!T34</f>
        <v>145824</v>
      </c>
      <c r="E44" s="210">
        <f>'Historic Model'!U34</f>
        <v>174211</v>
      </c>
      <c r="F44" s="178">
        <f>(F99*F104)/365</f>
        <v>179650.74209669165</v>
      </c>
      <c r="G44" s="178">
        <f t="shared" ref="G44:J44" si="17">(G99*G104)/365</f>
        <v>191287.53547890412</v>
      </c>
      <c r="H44" s="178">
        <f t="shared" si="17"/>
        <v>204797.19284708303</v>
      </c>
      <c r="I44" s="178">
        <f t="shared" si="17"/>
        <v>216669.66109720408</v>
      </c>
      <c r="J44" s="178">
        <f t="shared" si="17"/>
        <v>229549.63779093884</v>
      </c>
    </row>
    <row r="45" spans="1:13" ht="15" hidden="1" outlineLevel="1">
      <c r="A45" s="169" t="s">
        <v>210</v>
      </c>
      <c r="B45" s="167"/>
      <c r="C45" s="210">
        <f>'Historic Model'!S37</f>
        <v>11566</v>
      </c>
      <c r="D45" s="210">
        <f>'Historic Model'!T37</f>
        <v>12030</v>
      </c>
      <c r="E45" s="210">
        <f>'Historic Model'!U37</f>
        <v>12737</v>
      </c>
      <c r="F45" s="178">
        <f>F111</f>
        <v>11498.18723950861</v>
      </c>
      <c r="G45" s="178">
        <f t="shared" ref="G45:J45" si="18">G111</f>
        <v>12489.785214465001</v>
      </c>
      <c r="H45" s="178">
        <f t="shared" si="18"/>
        <v>12514.060051008755</v>
      </c>
      <c r="I45" s="178">
        <f t="shared" si="18"/>
        <v>12949.71537543205</v>
      </c>
      <c r="J45" s="178">
        <f t="shared" si="18"/>
        <v>13261.769447666007</v>
      </c>
    </row>
    <row r="46" spans="1:13" ht="15" hidden="1" outlineLevel="1">
      <c r="A46" s="169" t="s">
        <v>241</v>
      </c>
      <c r="B46" s="167"/>
      <c r="C46" s="210">
        <f>SUM('Historic Model'!S35:S36)</f>
        <v>59399</v>
      </c>
      <c r="D46" s="210">
        <f>SUM('Historic Model'!T35:T36)</f>
        <v>70924</v>
      </c>
      <c r="E46" s="210">
        <f>SUM('Historic Model'!U35:U36)</f>
        <v>80033</v>
      </c>
      <c r="F46" s="178">
        <f>F6*6.4%</f>
        <v>104714.8224</v>
      </c>
      <c r="G46" s="178">
        <f t="shared" ref="G46:J46" si="19">G6*6.4%</f>
        <v>111521.285856</v>
      </c>
      <c r="H46" s="178">
        <f t="shared" si="19"/>
        <v>118212.56300736002</v>
      </c>
      <c r="I46" s="178">
        <f t="shared" si="19"/>
        <v>124714.25397276481</v>
      </c>
      <c r="J46" s="178">
        <f t="shared" si="19"/>
        <v>131573.53794126687</v>
      </c>
    </row>
    <row r="47" spans="1:13" ht="15" hidden="1" outlineLevel="1">
      <c r="A47" s="169" t="s">
        <v>118</v>
      </c>
      <c r="B47" s="167"/>
      <c r="C47" s="216">
        <f>SUM(C43:C46)</f>
        <v>200993</v>
      </c>
      <c r="D47" s="216">
        <f t="shared" ref="D47:E47" si="20">SUM(D43:D46)</f>
        <v>229287</v>
      </c>
      <c r="E47" s="216">
        <f t="shared" si="20"/>
        <v>267207</v>
      </c>
      <c r="F47" s="216">
        <f>SUM(F43:F46)</f>
        <v>295976.7517362003</v>
      </c>
      <c r="G47" s="216">
        <f t="shared" ref="G47:J47" si="21">SUM(G43:G46)</f>
        <v>315355.10654936911</v>
      </c>
      <c r="H47" s="216">
        <f t="shared" si="21"/>
        <v>335523.81590545183</v>
      </c>
      <c r="I47" s="216">
        <f t="shared" si="21"/>
        <v>354333.63044540095</v>
      </c>
      <c r="J47" s="216">
        <f t="shared" si="21"/>
        <v>374384.94517987175</v>
      </c>
    </row>
    <row r="48" spans="1:13" ht="15" hidden="1" outlineLevel="1">
      <c r="A48" s="172"/>
      <c r="B48" s="166"/>
      <c r="C48" s="255"/>
      <c r="D48" s="255"/>
      <c r="E48" s="255"/>
      <c r="F48" s="186"/>
      <c r="G48" s="186"/>
      <c r="H48" s="186"/>
      <c r="I48" s="186"/>
      <c r="J48" s="186"/>
    </row>
    <row r="49" spans="1:10" ht="15" hidden="1" outlineLevel="1">
      <c r="A49" s="169" t="s">
        <v>211</v>
      </c>
      <c r="B49" s="167"/>
      <c r="C49" s="211">
        <f>SUM('Historic Model'!S41:S42)</f>
        <v>1125</v>
      </c>
      <c r="D49" s="211">
        <f>SUM('Historic Model'!T41:T42)</f>
        <v>2125</v>
      </c>
      <c r="E49" s="211">
        <f>SUM('Historic Model'!U41:U42)</f>
        <v>1798</v>
      </c>
      <c r="F49" s="178">
        <f>'Assumptions and Drivers'!F23</f>
        <v>1800</v>
      </c>
      <c r="G49" s="178">
        <f>'Assumptions and Drivers'!G23</f>
        <v>1800</v>
      </c>
      <c r="H49" s="178">
        <f>'Assumptions and Drivers'!H23</f>
        <v>1800</v>
      </c>
      <c r="I49" s="178">
        <f>'Assumptions and Drivers'!I23</f>
        <v>1800</v>
      </c>
      <c r="J49" s="178">
        <f>'Assumptions and Drivers'!J23</f>
        <v>1800</v>
      </c>
    </row>
    <row r="50" spans="1:10" ht="15" hidden="1" outlineLevel="1">
      <c r="A50" s="169" t="s">
        <v>216</v>
      </c>
      <c r="B50" s="167"/>
      <c r="C50" s="211">
        <f>SUM('Historic Model'!S43:S44)</f>
        <v>25849</v>
      </c>
      <c r="D50" s="211">
        <f>SUM('Historic Model'!T43:T44)</f>
        <v>31616</v>
      </c>
      <c r="E50" s="211">
        <f>SUM('Historic Model'!U43:U44)</f>
        <v>46730</v>
      </c>
      <c r="F50" s="178">
        <f>E50*(1+1.5%)</f>
        <v>47430.95</v>
      </c>
      <c r="G50" s="178">
        <f t="shared" ref="G50:J50" si="22">F50*(1+1.5%)</f>
        <v>48142.414249999994</v>
      </c>
      <c r="H50" s="178">
        <f t="shared" si="22"/>
        <v>48864.550463749991</v>
      </c>
      <c r="I50" s="178">
        <f t="shared" si="22"/>
        <v>49597.518720706234</v>
      </c>
      <c r="J50" s="178">
        <f t="shared" si="22"/>
        <v>50341.481501516821</v>
      </c>
    </row>
    <row r="51" spans="1:10" ht="15" hidden="1" outlineLevel="1">
      <c r="A51" s="169" t="s">
        <v>33</v>
      </c>
      <c r="B51" s="187"/>
      <c r="C51" s="216">
        <f>SUM(C47:C50)</f>
        <v>227967</v>
      </c>
      <c r="D51" s="216">
        <f t="shared" ref="D51:E51" si="23">SUM(D47:D50)</f>
        <v>263028</v>
      </c>
      <c r="E51" s="216">
        <f t="shared" si="23"/>
        <v>315735</v>
      </c>
      <c r="F51" s="216">
        <f>SUM(F47:F50)</f>
        <v>345207.70173620031</v>
      </c>
      <c r="G51" s="216">
        <f t="shared" ref="G51:J51" si="24">SUM(G47:G50)</f>
        <v>365297.52079936909</v>
      </c>
      <c r="H51" s="216">
        <f t="shared" si="24"/>
        <v>386188.3663692018</v>
      </c>
      <c r="I51" s="216">
        <f t="shared" si="24"/>
        <v>405731.14916610718</v>
      </c>
      <c r="J51" s="216">
        <f t="shared" si="24"/>
        <v>426526.42668138858</v>
      </c>
    </row>
    <row r="52" spans="1:10" ht="15" hidden="1" outlineLevel="1">
      <c r="A52" s="167"/>
      <c r="B52" s="167"/>
      <c r="C52" s="170"/>
      <c r="D52" s="170"/>
      <c r="E52" s="170"/>
      <c r="F52" s="171"/>
      <c r="G52" s="171"/>
      <c r="H52" s="171"/>
      <c r="I52" s="171"/>
      <c r="J52" s="171"/>
    </row>
    <row r="53" spans="1:10" ht="15" hidden="1" outlineLevel="1">
      <c r="A53" s="166" t="s">
        <v>40</v>
      </c>
      <c r="B53" s="166"/>
      <c r="C53" s="185"/>
      <c r="D53" s="185"/>
      <c r="E53" s="185"/>
      <c r="F53" s="186"/>
      <c r="G53" s="186"/>
      <c r="H53" s="186"/>
      <c r="I53" s="186"/>
      <c r="J53" s="186"/>
    </row>
    <row r="54" spans="1:10" ht="15" hidden="1" outlineLevel="1">
      <c r="A54" s="169" t="s">
        <v>212</v>
      </c>
      <c r="B54" s="167"/>
      <c r="C54" s="211">
        <f>'Assumptions and Drivers'!C24</f>
        <v>1510</v>
      </c>
      <c r="D54" s="211">
        <f>'Assumptions and Drivers'!D24</f>
        <v>1572</v>
      </c>
      <c r="E54" s="211">
        <f>'Assumptions and Drivers'!E24</f>
        <v>1572</v>
      </c>
      <c r="F54" s="211">
        <f>'Assumptions and Drivers'!F24</f>
        <v>1572</v>
      </c>
      <c r="G54" s="211">
        <f>'Assumptions and Drivers'!G24</f>
        <v>1572</v>
      </c>
      <c r="H54" s="211">
        <f>'Assumptions and Drivers'!H24</f>
        <v>1572</v>
      </c>
      <c r="I54" s="211">
        <f>'Assumptions and Drivers'!I24</f>
        <v>1572</v>
      </c>
      <c r="J54" s="211">
        <f>'Assumptions and Drivers'!J24</f>
        <v>1572</v>
      </c>
    </row>
    <row r="55" spans="1:10" ht="15" hidden="1" outlineLevel="1">
      <c r="A55" s="169" t="s">
        <v>44</v>
      </c>
      <c r="B55" s="167"/>
      <c r="C55" s="211">
        <v>541980</v>
      </c>
      <c r="D55" s="211">
        <v>646509</v>
      </c>
      <c r="E55" s="211">
        <v>746003</v>
      </c>
      <c r="F55" s="178">
        <f>F159</f>
        <v>837634.70753946865</v>
      </c>
      <c r="G55" s="178">
        <f t="shared" ref="G55:J55" si="25">G159</f>
        <v>937168.68817166658</v>
      </c>
      <c r="H55" s="178">
        <f t="shared" si="25"/>
        <v>1036896.1205781671</v>
      </c>
      <c r="I55" s="178">
        <f t="shared" si="25"/>
        <v>1140095.3908008412</v>
      </c>
      <c r="J55" s="178">
        <f t="shared" si="25"/>
        <v>1245781.4919376257</v>
      </c>
    </row>
    <row r="56" spans="1:10" ht="15" hidden="1" outlineLevel="1">
      <c r="A56" s="169" t="s">
        <v>124</v>
      </c>
      <c r="B56" s="167"/>
      <c r="C56" s="211">
        <f>'Historic Model'!S53-Forecasting!C55-'Historic Model'!S51</f>
        <v>60330</v>
      </c>
      <c r="D56" s="211">
        <f>'Historic Model'!T53-Forecasting!D55-'Historic Model'!T51</f>
        <v>191739</v>
      </c>
      <c r="E56" s="211">
        <f>'Historic Model'!U53-Forecasting!E55-'Historic Model'!U51</f>
        <v>192892</v>
      </c>
      <c r="F56" s="178">
        <f>E56*(1+3%)</f>
        <v>198678.76</v>
      </c>
      <c r="G56" s="178">
        <f>G40-G51-G54-G55</f>
        <v>215494.3458916042</v>
      </c>
      <c r="H56" s="178">
        <f t="shared" ref="H56:J56" si="26">H40-H51-H54-H55</f>
        <v>241588.49898678146</v>
      </c>
      <c r="I56" s="178">
        <f t="shared" si="26"/>
        <v>277327.68128324463</v>
      </c>
      <c r="J56" s="178">
        <f t="shared" si="26"/>
        <v>324563.50064713741</v>
      </c>
    </row>
    <row r="57" spans="1:10" ht="15" hidden="1" outlineLevel="1">
      <c r="A57" s="172" t="s">
        <v>213</v>
      </c>
      <c r="B57" s="166"/>
      <c r="C57" s="216">
        <f>SUM(C54:C56)</f>
        <v>603820</v>
      </c>
      <c r="D57" s="216">
        <f t="shared" ref="D57:E57" si="27">SUM(D54:D56)</f>
        <v>839820</v>
      </c>
      <c r="E57" s="216">
        <f t="shared" si="27"/>
        <v>940467</v>
      </c>
      <c r="F57" s="216">
        <f>SUM(F54:F56)</f>
        <v>1037885.4675394687</v>
      </c>
      <c r="G57" s="216">
        <f t="shared" ref="G57:J57" si="28">SUM(G54:G56)</f>
        <v>1154235.0340632708</v>
      </c>
      <c r="H57" s="216">
        <f t="shared" si="28"/>
        <v>1280056.6195649486</v>
      </c>
      <c r="I57" s="216">
        <f t="shared" si="28"/>
        <v>1418995.0720840858</v>
      </c>
      <c r="J57" s="216">
        <f t="shared" si="28"/>
        <v>1571916.9925847631</v>
      </c>
    </row>
    <row r="58" spans="1:10" ht="15" hidden="1" outlineLevel="1">
      <c r="A58" s="172"/>
      <c r="B58" s="166"/>
      <c r="C58" s="173"/>
      <c r="D58" s="173"/>
      <c r="E58" s="173"/>
      <c r="F58" s="173"/>
      <c r="G58" s="173"/>
      <c r="H58" s="173"/>
      <c r="I58" s="173"/>
      <c r="J58" s="173"/>
    </row>
    <row r="59" spans="1:10" ht="15.6" hidden="1" outlineLevel="1" thickBot="1">
      <c r="A59" s="172" t="s">
        <v>48</v>
      </c>
      <c r="B59" s="167"/>
      <c r="C59" s="247">
        <f t="shared" ref="C59:J59" si="29">C51+C57</f>
        <v>831787</v>
      </c>
      <c r="D59" s="247">
        <f t="shared" si="29"/>
        <v>1102848</v>
      </c>
      <c r="E59" s="247">
        <f t="shared" si="29"/>
        <v>1256202</v>
      </c>
      <c r="F59" s="247">
        <f t="shared" si="29"/>
        <v>1383093.1692756689</v>
      </c>
      <c r="G59" s="247">
        <f t="shared" si="29"/>
        <v>1519532.5548626399</v>
      </c>
      <c r="H59" s="247">
        <f t="shared" si="29"/>
        <v>1666244.9859341504</v>
      </c>
      <c r="I59" s="247">
        <f t="shared" si="29"/>
        <v>1824726.221250193</v>
      </c>
      <c r="J59" s="247">
        <f t="shared" si="29"/>
        <v>1998443.4192661517</v>
      </c>
    </row>
    <row r="60" spans="1:10" ht="15" hidden="1" outlineLevel="1">
      <c r="A60" s="172" t="s">
        <v>255</v>
      </c>
      <c r="C60" s="258">
        <f>C59-C40</f>
        <v>0</v>
      </c>
      <c r="D60" s="258">
        <f t="shared" ref="D60:F60" si="30">D59-D40</f>
        <v>0</v>
      </c>
      <c r="E60" s="258">
        <f t="shared" si="30"/>
        <v>0</v>
      </c>
      <c r="F60" s="258">
        <f t="shared" si="30"/>
        <v>0</v>
      </c>
      <c r="G60" s="258">
        <f t="shared" ref="G60:J60" si="31">G59-G40</f>
        <v>0</v>
      </c>
      <c r="H60" s="258">
        <f t="shared" si="31"/>
        <v>0</v>
      </c>
      <c r="I60" s="258">
        <f t="shared" si="31"/>
        <v>0</v>
      </c>
      <c r="J60" s="258">
        <f t="shared" si="31"/>
        <v>0</v>
      </c>
    </row>
    <row r="61" spans="1:10" collapsed="1"/>
    <row r="62" spans="1:10" ht="21">
      <c r="A62" s="163" t="s">
        <v>2</v>
      </c>
      <c r="B62" s="163"/>
      <c r="C62" s="163"/>
      <c r="D62" s="163"/>
      <c r="E62" s="163"/>
      <c r="F62" s="163"/>
      <c r="G62" s="163"/>
      <c r="H62" s="163"/>
      <c r="I62" s="163"/>
      <c r="J62" s="163"/>
    </row>
    <row r="63" spans="1:10" ht="21">
      <c r="A63" s="164"/>
      <c r="B63" s="164"/>
      <c r="C63" s="189"/>
      <c r="D63" s="189"/>
      <c r="E63" s="189"/>
      <c r="F63" s="189"/>
      <c r="G63" s="189"/>
      <c r="H63" s="189"/>
      <c r="I63" s="189"/>
      <c r="J63" s="189"/>
    </row>
    <row r="64" spans="1:10" ht="15" hidden="1" outlineLevel="1">
      <c r="A64" s="117" t="s">
        <v>56</v>
      </c>
      <c r="B64" s="165"/>
      <c r="C64" s="176" t="s">
        <v>178</v>
      </c>
      <c r="D64" s="176" t="s">
        <v>179</v>
      </c>
      <c r="E64" s="176" t="s">
        <v>180</v>
      </c>
      <c r="F64" s="176" t="s">
        <v>181</v>
      </c>
      <c r="G64" s="176" t="s">
        <v>182</v>
      </c>
      <c r="H64" s="176" t="s">
        <v>183</v>
      </c>
      <c r="I64" s="176" t="s">
        <v>184</v>
      </c>
      <c r="J64" s="176" t="s">
        <v>185</v>
      </c>
    </row>
    <row r="65" spans="1:10" ht="15" hidden="1" outlineLevel="1">
      <c r="A65" s="165"/>
      <c r="B65" s="165"/>
      <c r="C65" s="190"/>
      <c r="D65" s="190"/>
      <c r="E65" s="190"/>
      <c r="F65" s="190"/>
      <c r="G65" s="190"/>
      <c r="H65" s="190"/>
      <c r="I65" s="190"/>
      <c r="J65" s="190"/>
    </row>
    <row r="66" spans="1:10" ht="15" hidden="1" outlineLevel="1">
      <c r="A66" s="166" t="s">
        <v>217</v>
      </c>
      <c r="B66" s="166"/>
      <c r="C66" s="191"/>
      <c r="D66" s="191"/>
      <c r="E66" s="191"/>
      <c r="F66" s="192"/>
      <c r="G66" s="192"/>
      <c r="H66" s="192"/>
      <c r="I66" s="192"/>
      <c r="J66" s="192"/>
    </row>
    <row r="67" spans="1:10" ht="15" hidden="1" outlineLevel="1">
      <c r="A67" s="169" t="s">
        <v>8</v>
      </c>
      <c r="B67" s="167"/>
      <c r="C67" s="178">
        <f>C21</f>
        <v>57621</v>
      </c>
      <c r="D67" s="178">
        <f t="shared" ref="D67:J67" si="32">D21</f>
        <v>110053</v>
      </c>
      <c r="E67" s="178">
        <f t="shared" si="32"/>
        <v>109213</v>
      </c>
      <c r="F67" s="178">
        <f t="shared" si="32"/>
        <v>130902.43934209802</v>
      </c>
      <c r="G67" s="178">
        <f t="shared" si="32"/>
        <v>142191.40090313999</v>
      </c>
      <c r="H67" s="178">
        <f t="shared" si="32"/>
        <v>142467.76058071505</v>
      </c>
      <c r="I67" s="178">
        <f t="shared" si="32"/>
        <v>147427.52888953412</v>
      </c>
      <c r="J67" s="178">
        <f t="shared" si="32"/>
        <v>150980.14448112069</v>
      </c>
    </row>
    <row r="68" spans="1:10" ht="15" hidden="1" outlineLevel="1">
      <c r="A68" s="169" t="s">
        <v>11</v>
      </c>
      <c r="B68" s="167"/>
      <c r="C68" s="178">
        <f>-C14</f>
        <v>28233</v>
      </c>
      <c r="D68" s="178">
        <f t="shared" ref="D68:J68" si="33">-D14</f>
        <v>30223</v>
      </c>
      <c r="E68" s="178">
        <f t="shared" si="33"/>
        <v>31593</v>
      </c>
      <c r="F68" s="178">
        <f t="shared" si="33"/>
        <v>33804.51</v>
      </c>
      <c r="G68" s="178">
        <f t="shared" si="33"/>
        <v>36001.803150000007</v>
      </c>
      <c r="H68" s="178">
        <f t="shared" si="33"/>
        <v>38161.911339000006</v>
      </c>
      <c r="I68" s="178">
        <f t="shared" si="33"/>
        <v>40260.816462645002</v>
      </c>
      <c r="J68" s="178">
        <f t="shared" si="33"/>
        <v>42475.161368090477</v>
      </c>
    </row>
    <row r="69" spans="1:10" ht="15" hidden="1" outlineLevel="1">
      <c r="A69" s="169" t="s">
        <v>218</v>
      </c>
      <c r="B69" s="167"/>
      <c r="C69" s="185"/>
      <c r="D69" s="185"/>
      <c r="E69" s="185"/>
      <c r="F69" s="185"/>
      <c r="G69" s="185"/>
      <c r="H69" s="185"/>
      <c r="I69" s="185"/>
      <c r="J69" s="185"/>
    </row>
    <row r="70" spans="1:10" ht="15" hidden="1" outlineLevel="1">
      <c r="A70" s="193" t="s">
        <v>205</v>
      </c>
      <c r="B70" s="169"/>
      <c r="C70" s="178">
        <f>C114</f>
        <v>-12657</v>
      </c>
      <c r="D70" s="178">
        <f t="shared" ref="D70:J70" si="34">D114</f>
        <v>-13055</v>
      </c>
      <c r="E70" s="178">
        <f t="shared" si="34"/>
        <v>-19364</v>
      </c>
      <c r="F70" s="178">
        <f t="shared" si="34"/>
        <v>-1862.8260273972555</v>
      </c>
      <c r="G70" s="178">
        <f t="shared" si="34"/>
        <v>-4370.5886917808384</v>
      </c>
      <c r="H70" s="178">
        <f t="shared" si="34"/>
        <v>-4296.6248831506819</v>
      </c>
      <c r="I70" s="178">
        <f t="shared" si="34"/>
        <v>-4174.8871781280759</v>
      </c>
      <c r="J70" s="178">
        <f t="shared" si="34"/>
        <v>-4404.5059729251225</v>
      </c>
    </row>
    <row r="71" spans="1:10" ht="15" hidden="1" outlineLevel="1">
      <c r="A71" s="193" t="s">
        <v>206</v>
      </c>
      <c r="B71" s="169"/>
      <c r="C71" s="178">
        <f>C115</f>
        <v>-7507</v>
      </c>
      <c r="D71" s="178">
        <f t="shared" ref="D71:J71" si="35">D115</f>
        <v>1642</v>
      </c>
      <c r="E71" s="178">
        <f t="shared" si="35"/>
        <v>-10034</v>
      </c>
      <c r="F71" s="178">
        <f t="shared" si="35"/>
        <v>-2350.0458884869877</v>
      </c>
      <c r="G71" s="178">
        <f t="shared" si="35"/>
        <v>-3470.6225876774042</v>
      </c>
      <c r="H71" s="178">
        <f t="shared" si="35"/>
        <v>-4029.1960571761592</v>
      </c>
      <c r="I71" s="178">
        <f t="shared" si="35"/>
        <v>-3540.9115833694304</v>
      </c>
      <c r="J71" s="178">
        <f t="shared" si="35"/>
        <v>-3841.3965577805502</v>
      </c>
    </row>
    <row r="72" spans="1:10" ht="15" hidden="1" outlineLevel="1">
      <c r="A72" s="193" t="s">
        <v>209</v>
      </c>
      <c r="B72" s="169"/>
      <c r="C72" s="178">
        <f>C116</f>
        <v>20194</v>
      </c>
      <c r="D72" s="178">
        <f t="shared" ref="D72:J72" si="36">D116</f>
        <v>28020</v>
      </c>
      <c r="E72" s="178">
        <f t="shared" si="36"/>
        <v>28387</v>
      </c>
      <c r="F72" s="178">
        <f t="shared" si="36"/>
        <v>5439.7420966916543</v>
      </c>
      <c r="G72" s="178">
        <f t="shared" si="36"/>
        <v>11636.793382212461</v>
      </c>
      <c r="H72" s="178">
        <f t="shared" si="36"/>
        <v>13509.657368178887</v>
      </c>
      <c r="I72" s="178">
        <f t="shared" si="36"/>
        <v>11872.468250121048</v>
      </c>
      <c r="J72" s="178">
        <f t="shared" si="36"/>
        <v>12879.976693734789</v>
      </c>
    </row>
    <row r="73" spans="1:10" ht="15" hidden="1" outlineLevel="1">
      <c r="A73" s="193" t="s">
        <v>210</v>
      </c>
      <c r="B73" s="169"/>
      <c r="C73" s="178">
        <f>C117</f>
        <v>462</v>
      </c>
      <c r="D73" s="178">
        <f t="shared" ref="D73:J73" si="37">D117</f>
        <v>464</v>
      </c>
      <c r="E73" s="178">
        <f t="shared" si="37"/>
        <v>707</v>
      </c>
      <c r="F73" s="178">
        <f t="shared" si="37"/>
        <v>-1238.8127604913898</v>
      </c>
      <c r="G73" s="178">
        <f t="shared" si="37"/>
        <v>991.59797495639032</v>
      </c>
      <c r="H73" s="178">
        <f t="shared" si="37"/>
        <v>24.274836543754645</v>
      </c>
      <c r="I73" s="178">
        <f t="shared" si="37"/>
        <v>435.65532442329459</v>
      </c>
      <c r="J73" s="178">
        <f t="shared" si="37"/>
        <v>312.05407223395741</v>
      </c>
    </row>
    <row r="74" spans="1:10" ht="15" hidden="1" outlineLevel="1">
      <c r="A74" s="169" t="s">
        <v>217</v>
      </c>
      <c r="B74" s="167"/>
      <c r="C74" s="250">
        <f>SUM(C67:C73)</f>
        <v>86346</v>
      </c>
      <c r="D74" s="250">
        <f t="shared" ref="D74:J74" si="38">SUM(D67:D73)</f>
        <v>157347</v>
      </c>
      <c r="E74" s="250">
        <f t="shared" si="38"/>
        <v>140502</v>
      </c>
      <c r="F74" s="250">
        <f t="shared" si="38"/>
        <v>164695.00676241406</v>
      </c>
      <c r="G74" s="250">
        <f t="shared" si="38"/>
        <v>182980.38413085061</v>
      </c>
      <c r="H74" s="250">
        <f t="shared" si="38"/>
        <v>185837.78318411086</v>
      </c>
      <c r="I74" s="250">
        <f t="shared" si="38"/>
        <v>192280.67016522601</v>
      </c>
      <c r="J74" s="250">
        <f t="shared" si="38"/>
        <v>198401.43408447425</v>
      </c>
    </row>
    <row r="75" spans="1:10" ht="15" hidden="1" outlineLevel="1">
      <c r="A75" s="167"/>
      <c r="B75" s="167"/>
      <c r="C75" s="185"/>
      <c r="D75" s="185"/>
      <c r="E75" s="185"/>
      <c r="F75" s="186"/>
      <c r="G75" s="186"/>
      <c r="H75" s="186"/>
      <c r="I75" s="186"/>
      <c r="J75" s="186"/>
    </row>
    <row r="76" spans="1:10" ht="15" hidden="1" outlineLevel="1">
      <c r="A76" s="166" t="s">
        <v>219</v>
      </c>
      <c r="B76" s="166"/>
      <c r="C76" s="185"/>
      <c r="D76" s="185"/>
      <c r="E76" s="185"/>
      <c r="F76" s="186"/>
      <c r="G76" s="186"/>
      <c r="H76" s="186"/>
      <c r="I76" s="186"/>
      <c r="J76" s="186"/>
    </row>
    <row r="77" spans="1:10" ht="15" hidden="1" outlineLevel="1">
      <c r="A77" s="169" t="s">
        <v>220</v>
      </c>
      <c r="B77" s="167"/>
      <c r="C77" s="211">
        <f>-C126</f>
        <v>-61154</v>
      </c>
      <c r="D77" s="211">
        <f t="shared" ref="D77:J77" si="39">-D126</f>
        <v>-67269</v>
      </c>
      <c r="E77" s="211">
        <f t="shared" si="39"/>
        <v>-83486</v>
      </c>
      <c r="F77" s="211">
        <f t="shared" si="39"/>
        <v>-70117.360000000044</v>
      </c>
      <c r="G77" s="211">
        <f t="shared" si="39"/>
        <v>-53726.968399999954</v>
      </c>
      <c r="H77" s="211">
        <f t="shared" si="39"/>
        <v>-55587.112254000036</v>
      </c>
      <c r="I77" s="211">
        <f t="shared" si="39"/>
        <v>-57192.30335171998</v>
      </c>
      <c r="J77" s="211">
        <f t="shared" si="39"/>
        <v>-60337.880036064598</v>
      </c>
    </row>
    <row r="78" spans="1:10" ht="15" hidden="1" outlineLevel="1">
      <c r="A78" s="169" t="s">
        <v>221</v>
      </c>
      <c r="B78" s="167"/>
      <c r="C78" s="250">
        <f t="shared" ref="C78:J78" si="40">SUM(C77)</f>
        <v>-61154</v>
      </c>
      <c r="D78" s="250">
        <f t="shared" si="40"/>
        <v>-67269</v>
      </c>
      <c r="E78" s="250">
        <f t="shared" si="40"/>
        <v>-83486</v>
      </c>
      <c r="F78" s="250">
        <f t="shared" si="40"/>
        <v>-70117.360000000044</v>
      </c>
      <c r="G78" s="250">
        <f t="shared" si="40"/>
        <v>-53726.968399999954</v>
      </c>
      <c r="H78" s="250">
        <f t="shared" si="40"/>
        <v>-55587.112254000036</v>
      </c>
      <c r="I78" s="250">
        <f t="shared" si="40"/>
        <v>-57192.30335171998</v>
      </c>
      <c r="J78" s="250">
        <f t="shared" si="40"/>
        <v>-60337.880036064598</v>
      </c>
    </row>
    <row r="79" spans="1:10" ht="15" hidden="1" outlineLevel="1">
      <c r="A79" s="167"/>
      <c r="B79" s="167"/>
      <c r="C79" s="185"/>
      <c r="D79" s="185"/>
      <c r="E79" s="185"/>
      <c r="F79" s="186"/>
      <c r="G79" s="186"/>
      <c r="H79" s="186"/>
      <c r="I79" s="186"/>
      <c r="J79" s="186"/>
    </row>
    <row r="80" spans="1:10" ht="15" hidden="1" outlineLevel="1">
      <c r="A80" s="166" t="s">
        <v>222</v>
      </c>
      <c r="B80" s="166"/>
      <c r="C80" s="185"/>
      <c r="D80" s="185"/>
      <c r="E80" s="185"/>
      <c r="F80" s="186"/>
      <c r="G80" s="186"/>
      <c r="H80" s="186"/>
      <c r="I80" s="186"/>
      <c r="J80" s="186"/>
    </row>
    <row r="81" spans="1:10" ht="15" hidden="1" outlineLevel="1">
      <c r="A81" s="169" t="s">
        <v>223</v>
      </c>
      <c r="B81" s="167"/>
      <c r="C81" s="211">
        <f>C149</f>
        <v>0</v>
      </c>
      <c r="D81" s="211">
        <f t="shared" ref="D81:J81" si="41">D149</f>
        <v>62</v>
      </c>
      <c r="E81" s="211">
        <f t="shared" si="41"/>
        <v>0</v>
      </c>
      <c r="F81" s="211">
        <f t="shared" si="41"/>
        <v>0</v>
      </c>
      <c r="G81" s="211">
        <f t="shared" si="41"/>
        <v>0</v>
      </c>
      <c r="H81" s="211">
        <f t="shared" si="41"/>
        <v>0</v>
      </c>
      <c r="I81" s="211">
        <f t="shared" si="41"/>
        <v>0</v>
      </c>
      <c r="J81" s="211">
        <f t="shared" si="41"/>
        <v>0</v>
      </c>
    </row>
    <row r="82" spans="1:10" ht="15" hidden="1" outlineLevel="1">
      <c r="A82" s="169" t="s">
        <v>224</v>
      </c>
      <c r="B82" s="167"/>
      <c r="C82" s="178">
        <f>C158</f>
        <v>-18125</v>
      </c>
      <c r="D82" s="178">
        <f t="shared" ref="D82:J82" si="42">D158</f>
        <v>-27187</v>
      </c>
      <c r="E82" s="178">
        <f t="shared" si="42"/>
        <v>-39300</v>
      </c>
      <c r="F82" s="178">
        <f t="shared" si="42"/>
        <v>-39270.731802629401</v>
      </c>
      <c r="G82" s="178">
        <f t="shared" si="42"/>
        <v>-42657.420270941999</v>
      </c>
      <c r="H82" s="178">
        <f t="shared" si="42"/>
        <v>-42740.328174214512</v>
      </c>
      <c r="I82" s="178">
        <f t="shared" si="42"/>
        <v>-44228.258666860238</v>
      </c>
      <c r="J82" s="178">
        <f t="shared" si="42"/>
        <v>-45294.043344336205</v>
      </c>
    </row>
    <row r="83" spans="1:10" ht="15" hidden="1" outlineLevel="1">
      <c r="A83" s="169" t="s">
        <v>225</v>
      </c>
      <c r="B83" s="167"/>
      <c r="C83" s="211">
        <f>C139</f>
        <v>0</v>
      </c>
      <c r="D83" s="211">
        <f t="shared" ref="D83:J83" si="43">D139</f>
        <v>1000</v>
      </c>
      <c r="E83" s="211">
        <f t="shared" si="43"/>
        <v>-327</v>
      </c>
      <c r="F83" s="211">
        <f t="shared" si="43"/>
        <v>2</v>
      </c>
      <c r="G83" s="211">
        <f t="shared" si="43"/>
        <v>0</v>
      </c>
      <c r="H83" s="211">
        <f t="shared" si="43"/>
        <v>0</v>
      </c>
      <c r="I83" s="211">
        <f t="shared" si="43"/>
        <v>0</v>
      </c>
      <c r="J83" s="211">
        <f t="shared" si="43"/>
        <v>0</v>
      </c>
    </row>
    <row r="84" spans="1:10" ht="15" hidden="1" outlineLevel="1">
      <c r="A84" s="169" t="s">
        <v>226</v>
      </c>
      <c r="B84" s="167"/>
      <c r="C84" s="250">
        <f>SUM(C81:C83)</f>
        <v>-18125</v>
      </c>
      <c r="D84" s="250">
        <f t="shared" ref="D84:J84" si="44">SUM(D81:D83)</f>
        <v>-26125</v>
      </c>
      <c r="E84" s="250">
        <f t="shared" si="44"/>
        <v>-39627</v>
      </c>
      <c r="F84" s="250">
        <f t="shared" si="44"/>
        <v>-39268.731802629401</v>
      </c>
      <c r="G84" s="250">
        <f t="shared" si="44"/>
        <v>-42657.420270941999</v>
      </c>
      <c r="H84" s="250">
        <f t="shared" si="44"/>
        <v>-42740.328174214512</v>
      </c>
      <c r="I84" s="250">
        <f t="shared" si="44"/>
        <v>-44228.258666860238</v>
      </c>
      <c r="J84" s="250">
        <f t="shared" si="44"/>
        <v>-45294.043344336205</v>
      </c>
    </row>
    <row r="85" spans="1:10" ht="15" hidden="1" outlineLevel="1">
      <c r="A85" s="169"/>
      <c r="B85" s="167"/>
      <c r="C85" s="185"/>
      <c r="D85" s="185"/>
      <c r="E85" s="185"/>
      <c r="F85" s="186"/>
      <c r="G85" s="186"/>
      <c r="H85" s="186"/>
      <c r="I85" s="186"/>
      <c r="J85" s="186"/>
    </row>
    <row r="86" spans="1:10" ht="15" hidden="1" outlineLevel="1">
      <c r="A86" s="169" t="s">
        <v>227</v>
      </c>
      <c r="B86" s="167"/>
      <c r="C86" s="211">
        <v>320</v>
      </c>
      <c r="D86" s="211">
        <f>C88</f>
        <v>334</v>
      </c>
      <c r="E86" s="211">
        <f t="shared" ref="E86:J86" si="45">D88</f>
        <v>4557</v>
      </c>
      <c r="F86" s="211">
        <f t="shared" si="45"/>
        <v>780</v>
      </c>
      <c r="G86" s="211">
        <f t="shared" si="45"/>
        <v>56088.914959784619</v>
      </c>
      <c r="H86" s="211">
        <f t="shared" si="45"/>
        <v>142684.91041969327</v>
      </c>
      <c r="I86" s="211">
        <f t="shared" si="45"/>
        <v>230195.25317558958</v>
      </c>
      <c r="J86" s="211">
        <f t="shared" si="45"/>
        <v>321055.36132223537</v>
      </c>
    </row>
    <row r="87" spans="1:10" ht="15" hidden="1" outlineLevel="1">
      <c r="A87" s="169" t="s">
        <v>228</v>
      </c>
      <c r="B87" s="167"/>
      <c r="C87" s="178">
        <f>D86-C86</f>
        <v>14</v>
      </c>
      <c r="D87" s="178">
        <f>E86-D86</f>
        <v>4223</v>
      </c>
      <c r="E87" s="178">
        <f>E74+E78+E84</f>
        <v>17389</v>
      </c>
      <c r="F87" s="178">
        <f t="shared" ref="F87:J87" si="46">F74+F78+F84</f>
        <v>55308.914959784619</v>
      </c>
      <c r="G87" s="178">
        <f t="shared" si="46"/>
        <v>86595.995459908649</v>
      </c>
      <c r="H87" s="178">
        <f t="shared" si="46"/>
        <v>87510.342755896301</v>
      </c>
      <c r="I87" s="178">
        <f t="shared" si="46"/>
        <v>90860.108146645798</v>
      </c>
      <c r="J87" s="178">
        <f t="shared" si="46"/>
        <v>92769.510704073444</v>
      </c>
    </row>
    <row r="88" spans="1:10" ht="15.6" hidden="1" outlineLevel="1" thickBot="1">
      <c r="A88" s="172" t="s">
        <v>229</v>
      </c>
      <c r="B88" s="166"/>
      <c r="C88" s="247">
        <f>'Historic Model'!S8</f>
        <v>334</v>
      </c>
      <c r="D88" s="247">
        <f>'Historic Model'!T8</f>
        <v>4557</v>
      </c>
      <c r="E88" s="247">
        <f>'Historic Model'!U8</f>
        <v>780</v>
      </c>
      <c r="F88" s="247">
        <f t="shared" ref="F88:J88" si="47">SUM(F86:F87)</f>
        <v>56088.914959784619</v>
      </c>
      <c r="G88" s="247">
        <f t="shared" si="47"/>
        <v>142684.91041969327</v>
      </c>
      <c r="H88" s="247">
        <f t="shared" si="47"/>
        <v>230195.25317558958</v>
      </c>
      <c r="I88" s="247">
        <f t="shared" si="47"/>
        <v>321055.36132223537</v>
      </c>
      <c r="J88" s="247">
        <f t="shared" si="47"/>
        <v>413824.87202630879</v>
      </c>
    </row>
    <row r="89" spans="1:10" hidden="1" outlineLevel="1"/>
    <row r="90" spans="1:10" hidden="1" outlineLevel="1"/>
    <row r="91" spans="1:10" hidden="1" outlineLevel="1"/>
    <row r="92" spans="1:10" collapsed="1"/>
    <row r="93" spans="1:10" ht="21">
      <c r="A93" s="163" t="s">
        <v>230</v>
      </c>
      <c r="B93" s="163"/>
      <c r="C93" s="163"/>
      <c r="D93" s="163"/>
      <c r="E93" s="163"/>
      <c r="F93" s="163"/>
      <c r="G93" s="163"/>
      <c r="H93" s="163"/>
      <c r="I93" s="163"/>
      <c r="J93" s="163"/>
    </row>
    <row r="94" spans="1:10" ht="21">
      <c r="A94" s="164"/>
      <c r="B94" s="164"/>
      <c r="C94" s="189"/>
      <c r="D94" s="189"/>
      <c r="E94" s="189"/>
      <c r="F94" s="189"/>
      <c r="G94" s="189"/>
      <c r="H94" s="189"/>
      <c r="I94" s="189"/>
      <c r="J94" s="189"/>
    </row>
    <row r="95" spans="1:10" ht="15" hidden="1" outlineLevel="1">
      <c r="A95" s="117" t="s">
        <v>56</v>
      </c>
      <c r="B95" s="165"/>
      <c r="C95" s="176" t="s">
        <v>178</v>
      </c>
      <c r="D95" s="176" t="s">
        <v>179</v>
      </c>
      <c r="E95" s="176" t="s">
        <v>180</v>
      </c>
      <c r="F95" s="176" t="s">
        <v>181</v>
      </c>
      <c r="G95" s="176" t="s">
        <v>182</v>
      </c>
      <c r="H95" s="176" t="s">
        <v>183</v>
      </c>
      <c r="I95" s="176" t="s">
        <v>184</v>
      </c>
      <c r="J95" s="176" t="s">
        <v>185</v>
      </c>
    </row>
    <row r="96" spans="1:10" ht="21" hidden="1" outlineLevel="1">
      <c r="A96" s="164"/>
      <c r="B96" s="164"/>
      <c r="C96" s="189"/>
      <c r="D96" s="189"/>
      <c r="E96" s="189"/>
      <c r="F96" s="189"/>
      <c r="G96" s="189"/>
      <c r="H96" s="189"/>
      <c r="I96" s="189"/>
      <c r="J96" s="189"/>
    </row>
    <row r="97" spans="1:10" ht="15" hidden="1" outlineLevel="1">
      <c r="A97" s="167" t="s">
        <v>187</v>
      </c>
      <c r="B97" s="167"/>
      <c r="C97" s="202">
        <v>365</v>
      </c>
      <c r="D97" s="202">
        <v>365</v>
      </c>
      <c r="E97" s="202">
        <v>365</v>
      </c>
      <c r="F97" s="202">
        <v>365</v>
      </c>
      <c r="G97" s="202">
        <v>365</v>
      </c>
      <c r="H97" s="202">
        <v>365</v>
      </c>
      <c r="I97" s="202">
        <v>365</v>
      </c>
      <c r="J97" s="202">
        <v>365</v>
      </c>
    </row>
    <row r="98" spans="1:10" ht="15" hidden="1" outlineLevel="1">
      <c r="A98" s="167" t="s">
        <v>7</v>
      </c>
      <c r="B98" s="167"/>
      <c r="C98" s="203">
        <f t="shared" ref="C98:J98" si="48">C6</f>
        <v>1175229</v>
      </c>
      <c r="D98" s="203">
        <f t="shared" si="48"/>
        <v>1418582</v>
      </c>
      <c r="E98" s="203">
        <f t="shared" si="48"/>
        <v>1529130</v>
      </c>
      <c r="F98" s="203">
        <f t="shared" si="48"/>
        <v>1636169.1</v>
      </c>
      <c r="G98" s="203">
        <f t="shared" si="48"/>
        <v>1742520.0915000001</v>
      </c>
      <c r="H98" s="203">
        <f t="shared" si="48"/>
        <v>1847071.2969900002</v>
      </c>
      <c r="I98" s="203">
        <f t="shared" si="48"/>
        <v>1948660.2183244501</v>
      </c>
      <c r="J98" s="203">
        <f t="shared" si="48"/>
        <v>2055836.5303322948</v>
      </c>
    </row>
    <row r="99" spans="1:10" ht="15" hidden="1" outlineLevel="1">
      <c r="A99" s="167" t="s">
        <v>171</v>
      </c>
      <c r="B99" s="167"/>
      <c r="C99" s="203">
        <f t="shared" ref="C99:J99" si="49">-C7</f>
        <v>862435</v>
      </c>
      <c r="D99" s="203">
        <f t="shared" si="49"/>
        <v>997409</v>
      </c>
      <c r="E99" s="203">
        <f t="shared" si="49"/>
        <v>1074908</v>
      </c>
      <c r="F99" s="203">
        <f t="shared" si="49"/>
        <v>1150395.1028998676</v>
      </c>
      <c r="G99" s="203">
        <f t="shared" si="49"/>
        <v>1224911.4114000001</v>
      </c>
      <c r="H99" s="203">
        <f t="shared" si="49"/>
        <v>1311420.6208629</v>
      </c>
      <c r="I99" s="203">
        <f t="shared" si="49"/>
        <v>1387446.0754470085</v>
      </c>
      <c r="J99" s="203">
        <f t="shared" si="49"/>
        <v>1469923.1191875909</v>
      </c>
    </row>
    <row r="100" spans="1:10" ht="15" hidden="1" outlineLevel="1">
      <c r="A100" s="167" t="s">
        <v>176</v>
      </c>
      <c r="B100" s="167"/>
      <c r="C100" s="204">
        <f t="shared" ref="C100:J100" si="50">-C20</f>
        <v>21099</v>
      </c>
      <c r="D100" s="204">
        <f t="shared" si="50"/>
        <v>38310</v>
      </c>
      <c r="E100" s="204">
        <f t="shared" si="50"/>
        <v>52280</v>
      </c>
      <c r="F100" s="204">
        <f t="shared" si="50"/>
        <v>45992.748958034441</v>
      </c>
      <c r="G100" s="204">
        <f t="shared" si="50"/>
        <v>49959.140857860002</v>
      </c>
      <c r="H100" s="204">
        <f t="shared" si="50"/>
        <v>50056.240204035021</v>
      </c>
      <c r="I100" s="204">
        <f t="shared" si="50"/>
        <v>51798.861501728199</v>
      </c>
      <c r="J100" s="204">
        <f t="shared" si="50"/>
        <v>53047.077790664029</v>
      </c>
    </row>
    <row r="101" spans="1:10" ht="15" hidden="1" outlineLevel="1">
      <c r="A101" s="166"/>
      <c r="B101" s="166"/>
      <c r="C101" s="195"/>
      <c r="D101" s="195"/>
      <c r="E101" s="195"/>
      <c r="F101" s="196"/>
      <c r="G101" s="196"/>
      <c r="H101" s="196"/>
      <c r="I101" s="196"/>
      <c r="J101" s="196"/>
    </row>
    <row r="102" spans="1:10" ht="15" hidden="1" outlineLevel="1">
      <c r="A102" s="167" t="s">
        <v>205</v>
      </c>
      <c r="B102" s="177" t="s">
        <v>196</v>
      </c>
      <c r="C102" s="205">
        <f>'Assumptions and Drivers'!C19</f>
        <v>10.236022085908363</v>
      </c>
      <c r="D102" s="205">
        <f>'Assumptions and Drivers'!D19</f>
        <v>11.83910764411222</v>
      </c>
      <c r="E102" s="205">
        <f>'Assumptions and Drivers'!E19</f>
        <v>15.605347485171306</v>
      </c>
      <c r="F102" s="205">
        <f>'Assumptions and Drivers'!F19</f>
        <v>15</v>
      </c>
      <c r="G102" s="205">
        <f>'Assumptions and Drivers'!G19</f>
        <v>15</v>
      </c>
      <c r="H102" s="205">
        <f>'Assumptions and Drivers'!H19</f>
        <v>15</v>
      </c>
      <c r="I102" s="205">
        <f>'Assumptions and Drivers'!I19</f>
        <v>15</v>
      </c>
      <c r="J102" s="205">
        <f>'Assumptions and Drivers'!J19</f>
        <v>15</v>
      </c>
    </row>
    <row r="103" spans="1:10" ht="15" hidden="1" outlineLevel="1">
      <c r="A103" s="167" t="s">
        <v>15</v>
      </c>
      <c r="B103" s="177" t="s">
        <v>196</v>
      </c>
      <c r="C103" s="205">
        <f>'Assumptions and Drivers'!C20</f>
        <v>18.12991123968763</v>
      </c>
      <c r="D103" s="205">
        <f>'Assumptions and Drivers'!D20</f>
        <v>15.075600881884965</v>
      </c>
      <c r="E103" s="205">
        <f>'Assumptions and Drivers'!E20</f>
        <v>17.395860855068527</v>
      </c>
      <c r="F103" s="205">
        <f>'Assumptions and Drivers'!F20</f>
        <v>17</v>
      </c>
      <c r="G103" s="205">
        <f>'Assumptions and Drivers'!G20</f>
        <v>17</v>
      </c>
      <c r="H103" s="205">
        <f>'Assumptions and Drivers'!H20</f>
        <v>17</v>
      </c>
      <c r="I103" s="205">
        <f>'Assumptions and Drivers'!I20</f>
        <v>17</v>
      </c>
      <c r="J103" s="205">
        <f>'Assumptions and Drivers'!J20</f>
        <v>17</v>
      </c>
    </row>
    <row r="104" spans="1:10" ht="15" hidden="1" outlineLevel="1">
      <c r="A104" s="167" t="s">
        <v>209</v>
      </c>
      <c r="B104" s="177" t="s">
        <v>196</v>
      </c>
      <c r="C104" s="205">
        <f>'Assumptions and Drivers'!C21</f>
        <v>49.857044298990644</v>
      </c>
      <c r="D104" s="205">
        <f>'Assumptions and Drivers'!D21</f>
        <v>53.364026191863118</v>
      </c>
      <c r="E104" s="205">
        <f>'Assumptions and Drivers'!E21</f>
        <v>59.155774261611221</v>
      </c>
      <c r="F104" s="205">
        <f>'Assumptions and Drivers'!F21</f>
        <v>57</v>
      </c>
      <c r="G104" s="205">
        <f>'Assumptions and Drivers'!G21</f>
        <v>57</v>
      </c>
      <c r="H104" s="205">
        <f>'Assumptions and Drivers'!H21</f>
        <v>57</v>
      </c>
      <c r="I104" s="205">
        <f>'Assumptions and Drivers'!I21</f>
        <v>57</v>
      </c>
      <c r="J104" s="205">
        <f>'Assumptions and Drivers'!J21</f>
        <v>57</v>
      </c>
    </row>
    <row r="105" spans="1:10" ht="15" hidden="1" outlineLevel="1">
      <c r="A105" s="187" t="s">
        <v>199</v>
      </c>
      <c r="B105" s="167"/>
      <c r="C105" s="207">
        <f>'Assumptions and Drivers'!C22</f>
        <v>0.54817763875065173</v>
      </c>
      <c r="D105" s="207">
        <f>'Assumptions and Drivers'!D22</f>
        <v>0.3140172278778387</v>
      </c>
      <c r="E105" s="207">
        <f>'Assumptions and Drivers'!E22</f>
        <v>0.24363045141545525</v>
      </c>
      <c r="F105" s="207">
        <f>'Assumptions and Drivers'!F22</f>
        <v>0.25</v>
      </c>
      <c r="G105" s="207">
        <f>'Assumptions and Drivers'!G22</f>
        <v>0.25</v>
      </c>
      <c r="H105" s="207">
        <f>'Assumptions and Drivers'!H22</f>
        <v>0.25</v>
      </c>
      <c r="I105" s="207">
        <f>'Assumptions and Drivers'!I22</f>
        <v>0.25</v>
      </c>
      <c r="J105" s="207">
        <f>'Assumptions and Drivers'!J22</f>
        <v>0.25</v>
      </c>
    </row>
    <row r="106" spans="1:10" ht="15" hidden="1" outlineLevel="1">
      <c r="A106" s="167"/>
      <c r="B106" s="167"/>
      <c r="C106" s="195"/>
      <c r="D106" s="195"/>
      <c r="E106" s="195"/>
      <c r="F106" s="196"/>
      <c r="G106" s="196"/>
      <c r="H106" s="196"/>
      <c r="I106" s="196"/>
      <c r="J106" s="196"/>
    </row>
    <row r="107" spans="1:10" ht="15" hidden="1" outlineLevel="1">
      <c r="A107" s="166" t="s">
        <v>231</v>
      </c>
      <c r="B107" s="167"/>
      <c r="C107" s="195"/>
      <c r="D107" s="195"/>
      <c r="E107" s="195"/>
      <c r="F107" s="196"/>
      <c r="G107" s="196"/>
      <c r="H107" s="196"/>
      <c r="I107" s="196"/>
      <c r="J107" s="196"/>
    </row>
    <row r="108" spans="1:10" ht="15" hidden="1" outlineLevel="1">
      <c r="A108" s="169" t="s">
        <v>205</v>
      </c>
      <c r="B108" s="167"/>
      <c r="C108" s="206">
        <f t="shared" ref="C108:J109" si="51">C32</f>
        <v>32958</v>
      </c>
      <c r="D108" s="206">
        <f t="shared" si="51"/>
        <v>46013</v>
      </c>
      <c r="E108" s="206">
        <f t="shared" si="51"/>
        <v>65377</v>
      </c>
      <c r="F108" s="206">
        <f t="shared" si="51"/>
        <v>67239.826027397256</v>
      </c>
      <c r="G108" s="206">
        <f t="shared" si="51"/>
        <v>71610.414719178094</v>
      </c>
      <c r="H108" s="206">
        <f t="shared" si="51"/>
        <v>75907.039602328776</v>
      </c>
      <c r="I108" s="206">
        <f t="shared" si="51"/>
        <v>80081.926780456852</v>
      </c>
      <c r="J108" s="206">
        <f t="shared" si="51"/>
        <v>84486.432753381974</v>
      </c>
    </row>
    <row r="109" spans="1:10" ht="15" hidden="1" outlineLevel="1">
      <c r="A109" s="169" t="s">
        <v>15</v>
      </c>
      <c r="B109" s="167"/>
      <c r="C109" s="206">
        <f t="shared" si="51"/>
        <v>42838</v>
      </c>
      <c r="D109" s="206">
        <f t="shared" si="51"/>
        <v>41196</v>
      </c>
      <c r="E109" s="206">
        <f t="shared" si="51"/>
        <v>51230</v>
      </c>
      <c r="F109" s="206">
        <f t="shared" si="51"/>
        <v>53580.045888486988</v>
      </c>
      <c r="G109" s="206">
        <f t="shared" si="51"/>
        <v>57050.668476164392</v>
      </c>
      <c r="H109" s="206">
        <f t="shared" si="51"/>
        <v>61079.864533340551</v>
      </c>
      <c r="I109" s="206">
        <f t="shared" si="51"/>
        <v>64620.776116709982</v>
      </c>
      <c r="J109" s="206">
        <f t="shared" si="51"/>
        <v>68462.172674490532</v>
      </c>
    </row>
    <row r="110" spans="1:10" ht="15" hidden="1" outlineLevel="1">
      <c r="A110" s="169" t="s">
        <v>209</v>
      </c>
      <c r="B110" s="167"/>
      <c r="C110" s="206">
        <f>C44</f>
        <v>117804</v>
      </c>
      <c r="D110" s="206">
        <f>D44</f>
        <v>145824</v>
      </c>
      <c r="E110" s="206">
        <f>E44</f>
        <v>174211</v>
      </c>
      <c r="F110" s="206">
        <f>F44</f>
        <v>179650.74209669165</v>
      </c>
      <c r="G110" s="206">
        <f>G104/G97*G99</f>
        <v>191287.53547890412</v>
      </c>
      <c r="H110" s="206">
        <f>H104/H97*H99</f>
        <v>204797.192847083</v>
      </c>
      <c r="I110" s="206">
        <f>I104/I97*I99</f>
        <v>216669.66109720405</v>
      </c>
      <c r="J110" s="206">
        <f>J104/J97*J99</f>
        <v>229549.63779093884</v>
      </c>
    </row>
    <row r="111" spans="1:10" ht="15" hidden="1" outlineLevel="1">
      <c r="A111" s="169" t="s">
        <v>232</v>
      </c>
      <c r="B111" s="167"/>
      <c r="C111" s="206">
        <f>C45</f>
        <v>11566</v>
      </c>
      <c r="D111" s="206">
        <f>D45</f>
        <v>12030</v>
      </c>
      <c r="E111" s="206">
        <f>E45</f>
        <v>12737</v>
      </c>
      <c r="F111" s="206">
        <f>F105*F100</f>
        <v>11498.18723950861</v>
      </c>
      <c r="G111" s="206">
        <f t="shared" ref="G111:J111" si="52">G105*G100</f>
        <v>12489.785214465001</v>
      </c>
      <c r="H111" s="206">
        <f t="shared" si="52"/>
        <v>12514.060051008755</v>
      </c>
      <c r="I111" s="206">
        <f t="shared" si="52"/>
        <v>12949.71537543205</v>
      </c>
      <c r="J111" s="206">
        <f t="shared" si="52"/>
        <v>13261.769447666007</v>
      </c>
    </row>
    <row r="112" spans="1:10" ht="15" hidden="1" outlineLevel="1">
      <c r="A112" s="167"/>
      <c r="B112" s="167"/>
      <c r="C112" s="195"/>
      <c r="D112" s="195"/>
      <c r="E112" s="195"/>
      <c r="F112" s="197"/>
      <c r="G112" s="197"/>
      <c r="H112" s="197"/>
      <c r="I112" s="197"/>
      <c r="J112" s="197"/>
    </row>
    <row r="113" spans="1:10" ht="15" hidden="1" outlineLevel="1">
      <c r="A113" s="198" t="s">
        <v>233</v>
      </c>
      <c r="B113" s="198"/>
      <c r="C113" s="195"/>
      <c r="D113" s="195"/>
      <c r="E113" s="195"/>
      <c r="F113" s="197"/>
      <c r="G113" s="197"/>
      <c r="H113" s="197"/>
      <c r="I113" s="197"/>
      <c r="J113" s="197"/>
    </row>
    <row r="114" spans="1:10" ht="15" hidden="1" outlineLevel="1">
      <c r="A114" s="169" t="s">
        <v>205</v>
      </c>
      <c r="B114" s="169"/>
      <c r="C114" s="209">
        <f>'Historic Model'!R10-'Historic Model'!S10</f>
        <v>-12657</v>
      </c>
      <c r="D114" s="206">
        <f>C108-D108</f>
        <v>-13055</v>
      </c>
      <c r="E114" s="206">
        <f t="shared" ref="E114:J114" si="53">D108-E108</f>
        <v>-19364</v>
      </c>
      <c r="F114" s="206">
        <f t="shared" si="53"/>
        <v>-1862.8260273972555</v>
      </c>
      <c r="G114" s="206">
        <f t="shared" si="53"/>
        <v>-4370.5886917808384</v>
      </c>
      <c r="H114" s="206">
        <f t="shared" si="53"/>
        <v>-4296.6248831506819</v>
      </c>
      <c r="I114" s="206">
        <f t="shared" si="53"/>
        <v>-4174.8871781280759</v>
      </c>
      <c r="J114" s="206">
        <f t="shared" si="53"/>
        <v>-4404.5059729251225</v>
      </c>
    </row>
    <row r="115" spans="1:10" ht="15" hidden="1" outlineLevel="1">
      <c r="A115" s="169" t="s">
        <v>15</v>
      </c>
      <c r="B115" s="169"/>
      <c r="C115" s="209">
        <f>'Historic Model'!R9-'Historic Model'!S9</f>
        <v>-7507</v>
      </c>
      <c r="D115" s="206">
        <f>C109-D109</f>
        <v>1642</v>
      </c>
      <c r="E115" s="206">
        <f t="shared" ref="E115:J115" si="54">D109-E109</f>
        <v>-10034</v>
      </c>
      <c r="F115" s="206">
        <f t="shared" si="54"/>
        <v>-2350.0458884869877</v>
      </c>
      <c r="G115" s="206">
        <f t="shared" si="54"/>
        <v>-3470.6225876774042</v>
      </c>
      <c r="H115" s="206">
        <f t="shared" si="54"/>
        <v>-4029.1960571761592</v>
      </c>
      <c r="I115" s="206">
        <f t="shared" si="54"/>
        <v>-3540.9115833694304</v>
      </c>
      <c r="J115" s="206">
        <f t="shared" si="54"/>
        <v>-3841.3965577805502</v>
      </c>
    </row>
    <row r="116" spans="1:10" ht="15" hidden="1" outlineLevel="1">
      <c r="A116" s="169" t="s">
        <v>209</v>
      </c>
      <c r="B116" s="169"/>
      <c r="C116" s="212">
        <f>'Historic Model'!S34-'Historic Model'!R34</f>
        <v>20194</v>
      </c>
      <c r="D116" s="206">
        <f>D110-C110</f>
        <v>28020</v>
      </c>
      <c r="E116" s="206">
        <f t="shared" ref="E116:J116" si="55">E110-D110</f>
        <v>28387</v>
      </c>
      <c r="F116" s="206">
        <f t="shared" si="55"/>
        <v>5439.7420966916543</v>
      </c>
      <c r="G116" s="206">
        <f t="shared" si="55"/>
        <v>11636.793382212461</v>
      </c>
      <c r="H116" s="206">
        <f t="shared" si="55"/>
        <v>13509.657368178887</v>
      </c>
      <c r="I116" s="206">
        <f t="shared" si="55"/>
        <v>11872.468250121048</v>
      </c>
      <c r="J116" s="206">
        <f t="shared" si="55"/>
        <v>12879.976693734789</v>
      </c>
    </row>
    <row r="117" spans="1:10" ht="15" hidden="1" outlineLevel="1">
      <c r="A117" s="169" t="s">
        <v>210</v>
      </c>
      <c r="B117" s="169"/>
      <c r="C117" s="212">
        <f>'Historic Model'!S37-'Historic Model'!R37</f>
        <v>462</v>
      </c>
      <c r="D117" s="213">
        <f>D111-C111</f>
        <v>464</v>
      </c>
      <c r="E117" s="213">
        <f t="shared" ref="E117:J117" si="56">E111-D111</f>
        <v>707</v>
      </c>
      <c r="F117" s="213">
        <f t="shared" si="56"/>
        <v>-1238.8127604913898</v>
      </c>
      <c r="G117" s="213">
        <f t="shared" si="56"/>
        <v>991.59797495639032</v>
      </c>
      <c r="H117" s="213">
        <f t="shared" si="56"/>
        <v>24.274836543754645</v>
      </c>
      <c r="I117" s="213">
        <f t="shared" si="56"/>
        <v>435.65532442329459</v>
      </c>
      <c r="J117" s="213">
        <f t="shared" si="56"/>
        <v>312.05407223395741</v>
      </c>
    </row>
    <row r="118" spans="1:10" ht="15" hidden="1" outlineLevel="1">
      <c r="A118" s="169" t="s">
        <v>234</v>
      </c>
      <c r="B118" s="169"/>
      <c r="C118" s="214">
        <f>SUM(C114:C117)</f>
        <v>492</v>
      </c>
      <c r="D118" s="214">
        <f t="shared" ref="D118:J118" si="57">SUM(D114:D117)</f>
        <v>17071</v>
      </c>
      <c r="E118" s="214">
        <f t="shared" si="57"/>
        <v>-304</v>
      </c>
      <c r="F118" s="214">
        <f t="shared" si="57"/>
        <v>-11.942579683978693</v>
      </c>
      <c r="G118" s="214">
        <f t="shared" si="57"/>
        <v>4787.1800777106091</v>
      </c>
      <c r="H118" s="214">
        <f t="shared" si="57"/>
        <v>5208.1112643958004</v>
      </c>
      <c r="I118" s="214">
        <f t="shared" si="57"/>
        <v>4592.3248130468364</v>
      </c>
      <c r="J118" s="214">
        <f t="shared" si="57"/>
        <v>4946.1282352630733</v>
      </c>
    </row>
    <row r="119" spans="1:10" ht="15" hidden="1" outlineLevel="1">
      <c r="A119" s="169"/>
      <c r="B119" s="169"/>
      <c r="C119" s="194"/>
      <c r="D119" s="194"/>
      <c r="E119" s="194"/>
      <c r="F119" s="194"/>
      <c r="G119" s="194"/>
      <c r="H119" s="194"/>
      <c r="I119" s="194"/>
      <c r="J119" s="194"/>
    </row>
    <row r="120" spans="1:10" ht="15" hidden="1" outlineLevel="1">
      <c r="A120" s="169" t="s">
        <v>7</v>
      </c>
      <c r="B120" s="165"/>
      <c r="C120" s="208">
        <f>C98</f>
        <v>1175229</v>
      </c>
      <c r="D120" s="208">
        <f t="shared" ref="D120:J120" si="58">D98</f>
        <v>1418582</v>
      </c>
      <c r="E120" s="208">
        <f t="shared" si="58"/>
        <v>1529130</v>
      </c>
      <c r="F120" s="208">
        <f t="shared" si="58"/>
        <v>1636169.1</v>
      </c>
      <c r="G120" s="208">
        <f t="shared" si="58"/>
        <v>1742520.0915000001</v>
      </c>
      <c r="H120" s="208">
        <f t="shared" si="58"/>
        <v>1847071.2969900002</v>
      </c>
      <c r="I120" s="208">
        <f t="shared" si="58"/>
        <v>1948660.2183244501</v>
      </c>
      <c r="J120" s="208">
        <f t="shared" si="58"/>
        <v>2055836.5303322948</v>
      </c>
    </row>
    <row r="121" spans="1:10" ht="15" hidden="1" outlineLevel="1">
      <c r="A121" s="169" t="s">
        <v>193</v>
      </c>
      <c r="B121" s="177" t="s">
        <v>194</v>
      </c>
      <c r="C121" s="218">
        <f>'Assumptions and Drivers'!C18</f>
        <v>7.0514022056088228</v>
      </c>
      <c r="D121" s="218">
        <f>'Assumptions and Drivers'!D18</f>
        <v>8.138084146999093</v>
      </c>
      <c r="E121" s="218">
        <f>'Assumptions and Drivers'!E18</f>
        <v>6.4688935705764399</v>
      </c>
      <c r="F121" s="218">
        <f>'Assumptions and Drivers'!F18</f>
        <v>6</v>
      </c>
      <c r="G121" s="218">
        <f>'Assumptions and Drivers'!G18</f>
        <v>6</v>
      </c>
      <c r="H121" s="218">
        <f>'Assumptions and Drivers'!H18</f>
        <v>6</v>
      </c>
      <c r="I121" s="218">
        <f>'Assumptions and Drivers'!I18</f>
        <v>6</v>
      </c>
      <c r="J121" s="218">
        <f>'Assumptions and Drivers'!J18</f>
        <v>6</v>
      </c>
    </row>
    <row r="122" spans="1:10" ht="15" hidden="1" outlineLevel="1">
      <c r="A122" s="169" t="s">
        <v>190</v>
      </c>
      <c r="B122" s="177"/>
      <c r="C122" s="215">
        <f>'Assumptions and Drivers'!C13</f>
        <v>2.4023403098459961E-2</v>
      </c>
      <c r="D122" s="215">
        <f>'Assumptions and Drivers'!D13</f>
        <v>2.1305077887637091E-2</v>
      </c>
      <c r="E122" s="215">
        <f>'Assumptions and Drivers'!E13</f>
        <v>2.0660767887622375E-2</v>
      </c>
      <c r="F122" s="215">
        <f>'Assumptions and Drivers'!F13</f>
        <v>2.0660767887622375E-2</v>
      </c>
      <c r="G122" s="215">
        <f>'Assumptions and Drivers'!G13</f>
        <v>2.0660767887622375E-2</v>
      </c>
      <c r="H122" s="215">
        <f>'Assumptions and Drivers'!H13</f>
        <v>2.0660767887622375E-2</v>
      </c>
      <c r="I122" s="215">
        <f>'Assumptions and Drivers'!I13</f>
        <v>2.0660767887622375E-2</v>
      </c>
      <c r="J122" s="215">
        <f>'Assumptions and Drivers'!J13</f>
        <v>2.0660767887622375E-2</v>
      </c>
    </row>
    <row r="123" spans="1:10" ht="15" hidden="1" outlineLevel="1">
      <c r="A123" s="199"/>
      <c r="B123" s="165"/>
      <c r="C123" s="190"/>
      <c r="D123" s="190"/>
      <c r="E123" s="190"/>
      <c r="F123" s="190"/>
      <c r="G123" s="190"/>
      <c r="H123" s="190"/>
      <c r="I123" s="190"/>
      <c r="J123" s="190"/>
    </row>
    <row r="124" spans="1:10" ht="15" hidden="1" outlineLevel="1">
      <c r="A124" s="172" t="s">
        <v>235</v>
      </c>
      <c r="B124" s="166"/>
      <c r="C124" s="186"/>
      <c r="D124" s="186"/>
      <c r="E124" s="186"/>
      <c r="F124" s="186"/>
      <c r="G124" s="186"/>
      <c r="H124" s="186"/>
      <c r="I124" s="186"/>
      <c r="J124" s="186"/>
    </row>
    <row r="125" spans="1:10" ht="15" hidden="1" outlineLevel="1">
      <c r="A125" s="169" t="s">
        <v>236</v>
      </c>
      <c r="B125" s="167"/>
      <c r="C125" s="178">
        <f>C128-C127-C126</f>
        <v>133745</v>
      </c>
      <c r="D125" s="178">
        <f>C128</f>
        <v>166666</v>
      </c>
      <c r="E125" s="178">
        <f t="shared" ref="E125:J125" si="59">D128</f>
        <v>174314</v>
      </c>
      <c r="F125" s="178">
        <f t="shared" si="59"/>
        <v>236382</v>
      </c>
      <c r="G125" s="178">
        <f t="shared" si="59"/>
        <v>272694.85000000003</v>
      </c>
      <c r="H125" s="178">
        <f t="shared" si="59"/>
        <v>290420.01525</v>
      </c>
      <c r="I125" s="178">
        <f t="shared" si="59"/>
        <v>307845.21616500005</v>
      </c>
      <c r="J125" s="178">
        <f t="shared" si="59"/>
        <v>324776.70305407501</v>
      </c>
    </row>
    <row r="126" spans="1:10" ht="15" hidden="1" outlineLevel="1">
      <c r="A126" s="169" t="s">
        <v>237</v>
      </c>
      <c r="B126" s="167"/>
      <c r="C126" s="178">
        <f>-'Historic Model'!K24</f>
        <v>61154</v>
      </c>
      <c r="D126" s="178">
        <f>-'Historic Model'!L24</f>
        <v>67269</v>
      </c>
      <c r="E126" s="178">
        <f>-'Historic Model'!M24</f>
        <v>83486</v>
      </c>
      <c r="F126" s="178">
        <f>F128-F127-F125</f>
        <v>70117.360000000044</v>
      </c>
      <c r="G126" s="178">
        <f t="shared" ref="G126:J126" si="60">G128-G127-G125</f>
        <v>53726.968399999954</v>
      </c>
      <c r="H126" s="178">
        <f t="shared" si="60"/>
        <v>55587.112254000036</v>
      </c>
      <c r="I126" s="178">
        <f t="shared" si="60"/>
        <v>57192.30335171998</v>
      </c>
      <c r="J126" s="178">
        <f t="shared" si="60"/>
        <v>60337.880036064598</v>
      </c>
    </row>
    <row r="127" spans="1:10" ht="15" hidden="1" outlineLevel="1">
      <c r="A127" s="169" t="s">
        <v>238</v>
      </c>
      <c r="B127" s="167"/>
      <c r="C127" s="178">
        <f>C14</f>
        <v>-28233</v>
      </c>
      <c r="D127" s="178">
        <f>D14</f>
        <v>-30223</v>
      </c>
      <c r="E127" s="178">
        <f>E14</f>
        <v>-31593</v>
      </c>
      <c r="F127" s="178">
        <f>F122*F120*-1</f>
        <v>-33804.51</v>
      </c>
      <c r="G127" s="178">
        <f>G122*G120*-1</f>
        <v>-36001.803150000007</v>
      </c>
      <c r="H127" s="178">
        <f>H122*H120*-1</f>
        <v>-38161.911339000006</v>
      </c>
      <c r="I127" s="178">
        <f>I122*I120*-1</f>
        <v>-40260.816462645002</v>
      </c>
      <c r="J127" s="178">
        <f>J122*J120*-1</f>
        <v>-42475.161368090477</v>
      </c>
    </row>
    <row r="128" spans="1:10" ht="15" hidden="1" outlineLevel="1">
      <c r="A128" s="172" t="s">
        <v>239</v>
      </c>
      <c r="B128" s="166"/>
      <c r="C128" s="214">
        <f>C38</f>
        <v>166666</v>
      </c>
      <c r="D128" s="214">
        <f>D38</f>
        <v>174314</v>
      </c>
      <c r="E128" s="214">
        <f>E38</f>
        <v>236382</v>
      </c>
      <c r="F128" s="216">
        <f>F120/F121</f>
        <v>272694.85000000003</v>
      </c>
      <c r="G128" s="216">
        <f t="shared" ref="G128:J128" si="61">G120/G121</f>
        <v>290420.01525</v>
      </c>
      <c r="H128" s="216">
        <f t="shared" si="61"/>
        <v>307845.21616500005</v>
      </c>
      <c r="I128" s="216">
        <f t="shared" si="61"/>
        <v>324776.70305407501</v>
      </c>
      <c r="J128" s="216">
        <f t="shared" si="61"/>
        <v>342639.42172204913</v>
      </c>
    </row>
    <row r="129" spans="1:10" ht="15" hidden="1" outlineLevel="1">
      <c r="A129" s="200"/>
      <c r="B129" s="200"/>
      <c r="C129" s="201"/>
      <c r="D129" s="201"/>
      <c r="E129" s="201"/>
      <c r="F129" s="201"/>
      <c r="G129" s="201"/>
      <c r="H129" s="201"/>
      <c r="I129" s="201"/>
      <c r="J129" s="201"/>
    </row>
    <row r="130" spans="1:10" collapsed="1"/>
    <row r="132" spans="1:10" ht="21">
      <c r="A132" s="163" t="s">
        <v>242</v>
      </c>
      <c r="B132" s="163"/>
      <c r="C132" s="163"/>
      <c r="D132" s="163"/>
      <c r="E132" s="163"/>
      <c r="F132" s="163"/>
      <c r="G132" s="163"/>
      <c r="H132" s="163"/>
      <c r="I132" s="163"/>
      <c r="J132" s="163"/>
    </row>
    <row r="133" spans="1:10" ht="21">
      <c r="A133" s="164"/>
      <c r="B133" s="164"/>
      <c r="C133" s="189"/>
      <c r="D133" s="189"/>
      <c r="E133" s="189"/>
      <c r="F133" s="189"/>
      <c r="G133" s="189"/>
      <c r="H133" s="189"/>
      <c r="I133" s="189"/>
      <c r="J133" s="189"/>
    </row>
    <row r="134" spans="1:10" ht="15" hidden="1" outlineLevel="1">
      <c r="A134" s="117" t="s">
        <v>56</v>
      </c>
      <c r="B134" s="165"/>
      <c r="C134" s="176" t="s">
        <v>178</v>
      </c>
      <c r="D134" s="176" t="s">
        <v>179</v>
      </c>
      <c r="E134" s="176" t="s">
        <v>180</v>
      </c>
      <c r="F134" s="176" t="s">
        <v>181</v>
      </c>
      <c r="G134" s="176" t="s">
        <v>182</v>
      </c>
      <c r="H134" s="176" t="s">
        <v>183</v>
      </c>
      <c r="I134" s="176" t="s">
        <v>184</v>
      </c>
      <c r="J134" s="176" t="s">
        <v>185</v>
      </c>
    </row>
    <row r="135" spans="1:10" ht="15" hidden="1" outlineLevel="1">
      <c r="A135" s="165"/>
      <c r="B135" s="165"/>
      <c r="C135" s="190"/>
      <c r="D135" s="190"/>
      <c r="E135" s="190"/>
      <c r="F135" s="190"/>
      <c r="G135" s="190"/>
      <c r="H135" s="190"/>
      <c r="I135" s="190"/>
      <c r="J135" s="190"/>
    </row>
    <row r="136" spans="1:10" ht="15" hidden="1" outlineLevel="1">
      <c r="A136" s="166" t="s">
        <v>243</v>
      </c>
      <c r="B136" s="166"/>
      <c r="C136" s="175"/>
      <c r="D136" s="175"/>
      <c r="E136" s="175"/>
      <c r="F136" s="175"/>
      <c r="G136" s="175"/>
      <c r="H136" s="175"/>
      <c r="I136" s="175"/>
      <c r="J136" s="175"/>
    </row>
    <row r="137" spans="1:10" ht="15" hidden="1" outlineLevel="1">
      <c r="A137" s="166" t="s">
        <v>244</v>
      </c>
      <c r="B137" s="166"/>
      <c r="C137" s="186"/>
      <c r="D137" s="186"/>
      <c r="E137" s="186"/>
      <c r="F137" s="186"/>
      <c r="G137" s="186"/>
      <c r="H137" s="186"/>
      <c r="I137" s="186"/>
      <c r="J137" s="186"/>
    </row>
    <row r="138" spans="1:10" ht="15" hidden="1" outlineLevel="1">
      <c r="A138" s="169" t="s">
        <v>236</v>
      </c>
      <c r="B138" s="167"/>
      <c r="C138" s="180">
        <f>C140-C139</f>
        <v>1125</v>
      </c>
      <c r="D138" s="180">
        <f>C140</f>
        <v>1125</v>
      </c>
      <c r="E138" s="180">
        <f t="shared" ref="E138:J138" si="62">D140</f>
        <v>2125</v>
      </c>
      <c r="F138" s="180">
        <f t="shared" si="62"/>
        <v>1798</v>
      </c>
      <c r="G138" s="180">
        <f t="shared" si="62"/>
        <v>1800</v>
      </c>
      <c r="H138" s="180">
        <f t="shared" si="62"/>
        <v>1800</v>
      </c>
      <c r="I138" s="180">
        <f t="shared" si="62"/>
        <v>1800</v>
      </c>
      <c r="J138" s="180">
        <f t="shared" si="62"/>
        <v>1800</v>
      </c>
    </row>
    <row r="139" spans="1:10" ht="15" hidden="1" outlineLevel="1">
      <c r="A139" s="169" t="s">
        <v>245</v>
      </c>
      <c r="B139" s="167"/>
      <c r="C139" s="178">
        <v>0</v>
      </c>
      <c r="D139" s="178">
        <f>D140-D138</f>
        <v>1000</v>
      </c>
      <c r="E139" s="178">
        <f t="shared" ref="E139:J139" si="63">E140-E138</f>
        <v>-327</v>
      </c>
      <c r="F139" s="178">
        <f t="shared" si="63"/>
        <v>2</v>
      </c>
      <c r="G139" s="178">
        <f t="shared" si="63"/>
        <v>0</v>
      </c>
      <c r="H139" s="178">
        <f t="shared" si="63"/>
        <v>0</v>
      </c>
      <c r="I139" s="178">
        <f t="shared" si="63"/>
        <v>0</v>
      </c>
      <c r="J139" s="178">
        <f t="shared" si="63"/>
        <v>0</v>
      </c>
    </row>
    <row r="140" spans="1:10" ht="15" hidden="1" outlineLevel="1">
      <c r="A140" s="172" t="s">
        <v>246</v>
      </c>
      <c r="B140" s="166"/>
      <c r="C140" s="216">
        <f>C49</f>
        <v>1125</v>
      </c>
      <c r="D140" s="216">
        <f t="shared" ref="D140:J140" si="64">D49</f>
        <v>2125</v>
      </c>
      <c r="E140" s="216">
        <f t="shared" si="64"/>
        <v>1798</v>
      </c>
      <c r="F140" s="216">
        <f t="shared" si="64"/>
        <v>1800</v>
      </c>
      <c r="G140" s="216">
        <f t="shared" si="64"/>
        <v>1800</v>
      </c>
      <c r="H140" s="216">
        <f t="shared" si="64"/>
        <v>1800</v>
      </c>
      <c r="I140" s="216">
        <f t="shared" si="64"/>
        <v>1800</v>
      </c>
      <c r="J140" s="216">
        <f t="shared" si="64"/>
        <v>1800</v>
      </c>
    </row>
    <row r="141" spans="1:10" ht="15" hidden="1" outlineLevel="1">
      <c r="A141" s="169" t="s">
        <v>254</v>
      </c>
      <c r="B141" s="167"/>
      <c r="C141" s="243">
        <f>AVERAGE(C140,C138)</f>
        <v>1125</v>
      </c>
      <c r="D141" s="243">
        <f t="shared" ref="D141:J141" si="65">AVERAGE(D140,D138)</f>
        <v>1625</v>
      </c>
      <c r="E141" s="243">
        <f t="shared" si="65"/>
        <v>1961.5</v>
      </c>
      <c r="F141" s="243">
        <f t="shared" si="65"/>
        <v>1799</v>
      </c>
      <c r="G141" s="243">
        <f t="shared" si="65"/>
        <v>1800</v>
      </c>
      <c r="H141" s="243">
        <f t="shared" si="65"/>
        <v>1800</v>
      </c>
      <c r="I141" s="243">
        <f t="shared" si="65"/>
        <v>1800</v>
      </c>
      <c r="J141" s="243">
        <f t="shared" si="65"/>
        <v>1800</v>
      </c>
    </row>
    <row r="142" spans="1:10" ht="15" hidden="1" outlineLevel="1">
      <c r="A142" s="169" t="s">
        <v>247</v>
      </c>
      <c r="B142" s="166"/>
      <c r="C142" s="244">
        <f>'Assumptions and Drivers'!C14</f>
        <v>0.16586666666666669</v>
      </c>
      <c r="D142" s="244">
        <f>'Assumptions and Drivers'!D14</f>
        <v>0.1188923076923077</v>
      </c>
      <c r="E142" s="244">
        <f>'Assumptions and Drivers'!E14</f>
        <v>9.8445067550344129E-2</v>
      </c>
      <c r="F142" s="244">
        <f>'Assumptions and Drivers'!F14</f>
        <v>0.11</v>
      </c>
      <c r="G142" s="244">
        <f>'Assumptions and Drivers'!G14</f>
        <v>0.11</v>
      </c>
      <c r="H142" s="244">
        <f>'Assumptions and Drivers'!H14</f>
        <v>0.11</v>
      </c>
      <c r="I142" s="244">
        <f>'Assumptions and Drivers'!I14</f>
        <v>0.11</v>
      </c>
      <c r="J142" s="244">
        <f>'Assumptions and Drivers'!J14</f>
        <v>0.11</v>
      </c>
    </row>
    <row r="143" spans="1:10" ht="15" hidden="1" outlineLevel="1">
      <c r="A143" s="169"/>
      <c r="B143" s="166"/>
      <c r="C143" s="220"/>
      <c r="D143" s="220"/>
      <c r="E143" s="220"/>
      <c r="F143" s="220"/>
      <c r="G143" s="220"/>
      <c r="H143" s="220"/>
      <c r="I143" s="220"/>
      <c r="J143" s="220"/>
    </row>
    <row r="144" spans="1:10" ht="15" hidden="1" outlineLevel="1">
      <c r="A144" s="169" t="s">
        <v>248</v>
      </c>
      <c r="B144" s="167"/>
      <c r="C144" s="178">
        <f>-'Historic Model'!E20</f>
        <v>1866</v>
      </c>
      <c r="D144" s="178">
        <f>-'Historic Model'!F20</f>
        <v>1932</v>
      </c>
      <c r="E144" s="178">
        <f>-'Historic Model'!G20</f>
        <v>1931</v>
      </c>
      <c r="F144" s="178">
        <f>F142*F141</f>
        <v>197.89000000000001</v>
      </c>
      <c r="G144" s="178">
        <f t="shared" ref="G144:J144" si="66">G142*G141</f>
        <v>198</v>
      </c>
      <c r="H144" s="178">
        <f t="shared" si="66"/>
        <v>198</v>
      </c>
      <c r="I144" s="178">
        <f t="shared" si="66"/>
        <v>198</v>
      </c>
      <c r="J144" s="178">
        <f t="shared" si="66"/>
        <v>198</v>
      </c>
    </row>
    <row r="145" spans="1:10" ht="15" hidden="1" outlineLevel="1">
      <c r="A145" s="172" t="s">
        <v>249</v>
      </c>
      <c r="B145" s="166"/>
      <c r="C145" s="216">
        <f t="shared" ref="C145:J145" si="67">SUM(C144)</f>
        <v>1866</v>
      </c>
      <c r="D145" s="216">
        <f t="shared" si="67"/>
        <v>1932</v>
      </c>
      <c r="E145" s="216">
        <f t="shared" si="67"/>
        <v>1931</v>
      </c>
      <c r="F145" s="216">
        <f t="shared" si="67"/>
        <v>197.89000000000001</v>
      </c>
      <c r="G145" s="216">
        <f t="shared" si="67"/>
        <v>198</v>
      </c>
      <c r="H145" s="216">
        <f t="shared" si="67"/>
        <v>198</v>
      </c>
      <c r="I145" s="216">
        <f t="shared" si="67"/>
        <v>198</v>
      </c>
      <c r="J145" s="216">
        <f t="shared" si="67"/>
        <v>198</v>
      </c>
    </row>
    <row r="146" spans="1:10" ht="15" hidden="1" outlineLevel="1">
      <c r="A146" s="167"/>
      <c r="B146" s="167"/>
      <c r="C146" s="186"/>
      <c r="D146" s="186"/>
      <c r="E146" s="186"/>
      <c r="F146" s="186"/>
      <c r="G146" s="186"/>
      <c r="H146" s="186"/>
      <c r="I146" s="186"/>
      <c r="J146" s="186"/>
    </row>
    <row r="147" spans="1:10" ht="15" hidden="1" outlineLevel="1">
      <c r="A147" s="166" t="s">
        <v>212</v>
      </c>
      <c r="B147" s="167"/>
      <c r="C147" s="186"/>
      <c r="D147" s="186"/>
      <c r="E147" s="186"/>
      <c r="F147" s="186"/>
      <c r="G147" s="186"/>
      <c r="H147" s="186"/>
      <c r="I147" s="186"/>
      <c r="J147" s="186"/>
    </row>
    <row r="148" spans="1:10" ht="15" hidden="1" outlineLevel="1">
      <c r="A148" s="169" t="s">
        <v>236</v>
      </c>
      <c r="B148" s="167"/>
      <c r="C148" s="243">
        <f>C150-C149</f>
        <v>1510</v>
      </c>
      <c r="D148" s="243">
        <f t="shared" ref="D148:J148" si="68">C150</f>
        <v>1510</v>
      </c>
      <c r="E148" s="243">
        <f t="shared" si="68"/>
        <v>1572</v>
      </c>
      <c r="F148" s="243">
        <f t="shared" si="68"/>
        <v>1572</v>
      </c>
      <c r="G148" s="243">
        <f t="shared" si="68"/>
        <v>1572</v>
      </c>
      <c r="H148" s="243">
        <f t="shared" si="68"/>
        <v>1572</v>
      </c>
      <c r="I148" s="243">
        <f t="shared" si="68"/>
        <v>1572</v>
      </c>
      <c r="J148" s="243">
        <f t="shared" si="68"/>
        <v>1572</v>
      </c>
    </row>
    <row r="149" spans="1:10" ht="15" hidden="1" outlineLevel="1">
      <c r="A149" s="169" t="s">
        <v>245</v>
      </c>
      <c r="B149" s="167"/>
      <c r="C149" s="243">
        <f>C83</f>
        <v>0</v>
      </c>
      <c r="D149" s="243">
        <f t="shared" ref="D149:J149" si="69">D150-D148</f>
        <v>62</v>
      </c>
      <c r="E149" s="243">
        <f t="shared" si="69"/>
        <v>0</v>
      </c>
      <c r="F149" s="243">
        <f t="shared" si="69"/>
        <v>0</v>
      </c>
      <c r="G149" s="243">
        <f t="shared" si="69"/>
        <v>0</v>
      </c>
      <c r="H149" s="243">
        <f t="shared" si="69"/>
        <v>0</v>
      </c>
      <c r="I149" s="243">
        <f t="shared" si="69"/>
        <v>0</v>
      </c>
      <c r="J149" s="243">
        <f t="shared" si="69"/>
        <v>0</v>
      </c>
    </row>
    <row r="150" spans="1:10" ht="15" hidden="1" outlineLevel="1">
      <c r="A150" s="172" t="s">
        <v>250</v>
      </c>
      <c r="B150" s="167"/>
      <c r="C150" s="251">
        <f>'Assumptions and Drivers'!C24</f>
        <v>1510</v>
      </c>
      <c r="D150" s="251">
        <f>'Assumptions and Drivers'!D24</f>
        <v>1572</v>
      </c>
      <c r="E150" s="251">
        <f>'Assumptions and Drivers'!E24</f>
        <v>1572</v>
      </c>
      <c r="F150" s="251">
        <f>'Assumptions and Drivers'!F24</f>
        <v>1572</v>
      </c>
      <c r="G150" s="251">
        <f>'Assumptions and Drivers'!G24</f>
        <v>1572</v>
      </c>
      <c r="H150" s="251">
        <f>'Assumptions and Drivers'!H24</f>
        <v>1572</v>
      </c>
      <c r="I150" s="251">
        <f>'Assumptions and Drivers'!I24</f>
        <v>1572</v>
      </c>
      <c r="J150" s="251">
        <f>'Assumptions and Drivers'!J24</f>
        <v>1572</v>
      </c>
    </row>
    <row r="151" spans="1:10" ht="15" hidden="1" outlineLevel="1">
      <c r="A151" s="167"/>
      <c r="B151" s="167"/>
      <c r="C151" s="186"/>
      <c r="D151" s="186"/>
      <c r="E151" s="186"/>
      <c r="F151" s="186"/>
      <c r="G151" s="186"/>
      <c r="H151" s="186"/>
      <c r="I151" s="186"/>
      <c r="J151" s="186"/>
    </row>
    <row r="152" spans="1:10" ht="15" hidden="1" outlineLevel="1">
      <c r="A152" s="169" t="s">
        <v>8</v>
      </c>
      <c r="B152" s="167"/>
      <c r="C152" s="248">
        <f>C21</f>
        <v>57621</v>
      </c>
      <c r="D152" s="248">
        <f t="shared" ref="D152:J152" si="70">D21</f>
        <v>110053</v>
      </c>
      <c r="E152" s="248">
        <f t="shared" si="70"/>
        <v>109213</v>
      </c>
      <c r="F152" s="248">
        <f t="shared" si="70"/>
        <v>130902.43934209802</v>
      </c>
      <c r="G152" s="248">
        <f t="shared" si="70"/>
        <v>142191.40090313999</v>
      </c>
      <c r="H152" s="248">
        <f t="shared" si="70"/>
        <v>142467.76058071505</v>
      </c>
      <c r="I152" s="248">
        <f t="shared" si="70"/>
        <v>147427.52888953412</v>
      </c>
      <c r="J152" s="248">
        <f t="shared" si="70"/>
        <v>150980.14448112069</v>
      </c>
    </row>
    <row r="153" spans="1:10" ht="15" hidden="1" outlineLevel="1">
      <c r="A153" s="169" t="s">
        <v>251</v>
      </c>
      <c r="B153" s="167"/>
      <c r="C153" s="249">
        <f>C23</f>
        <v>18125</v>
      </c>
      <c r="D153" s="249">
        <f t="shared" ref="D153:J153" si="71">D23</f>
        <v>27187</v>
      </c>
      <c r="E153" s="249">
        <f t="shared" si="71"/>
        <v>39300</v>
      </c>
      <c r="F153" s="249">
        <f t="shared" si="71"/>
        <v>39270.731802629401</v>
      </c>
      <c r="G153" s="249">
        <f t="shared" si="71"/>
        <v>42657.420270941999</v>
      </c>
      <c r="H153" s="249">
        <f t="shared" si="71"/>
        <v>42740.328174214512</v>
      </c>
      <c r="I153" s="249">
        <f t="shared" si="71"/>
        <v>44228.258666860238</v>
      </c>
      <c r="J153" s="249">
        <f t="shared" si="71"/>
        <v>45294.043344336205</v>
      </c>
    </row>
    <row r="154" spans="1:10" ht="15" hidden="1" outlineLevel="1">
      <c r="A154" s="167"/>
      <c r="B154" s="167"/>
      <c r="C154" s="186"/>
      <c r="D154" s="186"/>
      <c r="E154" s="186"/>
      <c r="F154" s="186"/>
      <c r="G154" s="186"/>
      <c r="H154" s="186"/>
      <c r="I154" s="186"/>
      <c r="J154" s="186"/>
    </row>
    <row r="155" spans="1:10" ht="15" hidden="1" outlineLevel="1">
      <c r="A155" s="166" t="s">
        <v>44</v>
      </c>
      <c r="B155" s="166"/>
      <c r="C155" s="186"/>
      <c r="D155" s="186"/>
      <c r="E155" s="186"/>
      <c r="F155" s="186"/>
      <c r="G155" s="186"/>
      <c r="H155" s="186"/>
      <c r="I155" s="186"/>
      <c r="J155" s="186"/>
    </row>
    <row r="156" spans="1:10" ht="15" hidden="1" outlineLevel="1">
      <c r="A156" s="169" t="s">
        <v>236</v>
      </c>
      <c r="B156" s="167"/>
      <c r="C156" s="178">
        <f>C159-C158-C157</f>
        <v>502484</v>
      </c>
      <c r="D156" s="178">
        <f>C159</f>
        <v>541980</v>
      </c>
      <c r="E156" s="178">
        <f t="shared" ref="E156:J156" si="72">D159</f>
        <v>646509</v>
      </c>
      <c r="F156" s="178">
        <f t="shared" si="72"/>
        <v>746003</v>
      </c>
      <c r="G156" s="178">
        <f t="shared" si="72"/>
        <v>837634.70753946865</v>
      </c>
      <c r="H156" s="178">
        <f t="shared" si="72"/>
        <v>937168.68817166658</v>
      </c>
      <c r="I156" s="178">
        <f t="shared" si="72"/>
        <v>1036896.1205781671</v>
      </c>
      <c r="J156" s="178">
        <f t="shared" si="72"/>
        <v>1140095.3908008412</v>
      </c>
    </row>
    <row r="157" spans="1:10" ht="15" hidden="1" outlineLevel="1">
      <c r="A157" s="169" t="s">
        <v>8</v>
      </c>
      <c r="B157" s="167"/>
      <c r="C157" s="178">
        <f>C152</f>
        <v>57621</v>
      </c>
      <c r="D157" s="178">
        <v>131716</v>
      </c>
      <c r="E157" s="178">
        <v>138794</v>
      </c>
      <c r="F157" s="178">
        <f t="shared" ref="F157:J157" si="73">F152</f>
        <v>130902.43934209802</v>
      </c>
      <c r="G157" s="178">
        <f t="shared" si="73"/>
        <v>142191.40090313999</v>
      </c>
      <c r="H157" s="178">
        <f t="shared" si="73"/>
        <v>142467.76058071505</v>
      </c>
      <c r="I157" s="178">
        <f t="shared" si="73"/>
        <v>147427.52888953412</v>
      </c>
      <c r="J157" s="178">
        <f t="shared" si="73"/>
        <v>150980.14448112069</v>
      </c>
    </row>
    <row r="158" spans="1:10" ht="15" hidden="1" outlineLevel="1">
      <c r="A158" s="169" t="s">
        <v>251</v>
      </c>
      <c r="B158" s="167"/>
      <c r="C158" s="178">
        <f>-C153</f>
        <v>-18125</v>
      </c>
      <c r="D158" s="178">
        <f t="shared" ref="D158:J158" si="74">-D153</f>
        <v>-27187</v>
      </c>
      <c r="E158" s="178">
        <f t="shared" si="74"/>
        <v>-39300</v>
      </c>
      <c r="F158" s="178">
        <f t="shared" si="74"/>
        <v>-39270.731802629401</v>
      </c>
      <c r="G158" s="178">
        <f t="shared" si="74"/>
        <v>-42657.420270941999</v>
      </c>
      <c r="H158" s="178">
        <f t="shared" si="74"/>
        <v>-42740.328174214512</v>
      </c>
      <c r="I158" s="178">
        <f t="shared" si="74"/>
        <v>-44228.258666860238</v>
      </c>
      <c r="J158" s="178">
        <f t="shared" si="74"/>
        <v>-45294.043344336205</v>
      </c>
    </row>
    <row r="159" spans="1:10" ht="15" hidden="1" outlineLevel="1">
      <c r="A159" s="172" t="s">
        <v>252</v>
      </c>
      <c r="B159" s="166"/>
      <c r="C159" s="214">
        <f>C55</f>
        <v>541980</v>
      </c>
      <c r="D159" s="214">
        <f>SUM(D156:D158)</f>
        <v>646509</v>
      </c>
      <c r="E159" s="214">
        <f>SUM(E156:E158)</f>
        <v>746003</v>
      </c>
      <c r="F159" s="216">
        <f t="shared" ref="F159:J159" si="75">SUM(F156:F158)</f>
        <v>837634.70753946865</v>
      </c>
      <c r="G159" s="216">
        <f t="shared" si="75"/>
        <v>937168.68817166658</v>
      </c>
      <c r="H159" s="216">
        <f t="shared" si="75"/>
        <v>1036896.1205781671</v>
      </c>
      <c r="I159" s="216">
        <f t="shared" si="75"/>
        <v>1140095.3908008412</v>
      </c>
      <c r="J159" s="216">
        <f t="shared" si="75"/>
        <v>1245781.4919376257</v>
      </c>
    </row>
    <row r="160" spans="1:10" ht="15" hidden="1" outlineLevel="1">
      <c r="A160" s="166"/>
      <c r="B160" s="166"/>
      <c r="C160" s="173"/>
      <c r="D160" s="173"/>
      <c r="E160" s="173"/>
      <c r="F160" s="173"/>
      <c r="G160" s="173"/>
      <c r="H160" s="173"/>
      <c r="I160" s="173"/>
      <c r="J160" s="173"/>
    </row>
    <row r="161" collapsed="1"/>
  </sheetData>
  <phoneticPr fontId="44" type="noConversion"/>
  <pageMargins left="0.7" right="0.7" top="0.75" bottom="0.75" header="0.3" footer="0.3"/>
  <ignoredErrors>
    <ignoredError sqref="C39:D39 C43:D43 C46:E46 C4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9BB3-F3E1-4F41-B072-9C93C12290FC}">
  <dimension ref="A2:L22"/>
  <sheetViews>
    <sheetView showGridLines="0" topLeftCell="A16" workbookViewId="0">
      <selection activeCell="O10" sqref="O10"/>
    </sheetView>
  </sheetViews>
  <sheetFormatPr defaultRowHeight="14.4"/>
  <cols>
    <col min="1" max="1" width="33.88671875" bestFit="1" customWidth="1"/>
    <col min="3" max="10" width="10.77734375" bestFit="1" customWidth="1"/>
  </cols>
  <sheetData>
    <row r="2" spans="1:10" ht="21">
      <c r="A2" s="163" t="s">
        <v>261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21">
      <c r="A3" s="164"/>
      <c r="B3" s="164"/>
      <c r="C3" s="189"/>
      <c r="D3" s="189"/>
      <c r="E3" s="189"/>
      <c r="F3" s="189"/>
      <c r="G3" s="189"/>
      <c r="H3" s="189"/>
      <c r="I3" s="189"/>
      <c r="J3" s="189"/>
    </row>
    <row r="4" spans="1:10" ht="15">
      <c r="A4" s="117" t="s">
        <v>56</v>
      </c>
      <c r="B4" s="165"/>
      <c r="C4" s="176" t="s">
        <v>178</v>
      </c>
      <c r="D4" s="176" t="s">
        <v>179</v>
      </c>
      <c r="E4" s="176" t="s">
        <v>180</v>
      </c>
      <c r="F4" s="176" t="s">
        <v>181</v>
      </c>
      <c r="G4" s="176" t="s">
        <v>182</v>
      </c>
      <c r="H4" s="176" t="s">
        <v>183</v>
      </c>
      <c r="I4" s="176" t="s">
        <v>184</v>
      </c>
      <c r="J4" s="176" t="s">
        <v>185</v>
      </c>
    </row>
    <row r="5" spans="1:10" ht="15">
      <c r="A5" s="165"/>
      <c r="B5" s="165"/>
      <c r="C5" s="190"/>
      <c r="D5" s="190"/>
      <c r="E5" s="190"/>
      <c r="F5" s="190"/>
      <c r="G5" s="190"/>
      <c r="H5" s="190"/>
      <c r="I5" s="190"/>
      <c r="J5" s="190"/>
    </row>
    <row r="6" spans="1:10" ht="15">
      <c r="A6" s="166" t="s">
        <v>1</v>
      </c>
      <c r="B6" s="166"/>
      <c r="C6" s="186"/>
      <c r="D6" s="186"/>
      <c r="E6" s="186"/>
      <c r="F6" s="186"/>
      <c r="G6" s="186"/>
      <c r="H6" s="186"/>
      <c r="I6" s="186"/>
      <c r="J6" s="186"/>
    </row>
    <row r="7" spans="1:10" ht="15">
      <c r="A7" s="169" t="s">
        <v>7</v>
      </c>
      <c r="B7" s="167"/>
      <c r="C7" s="171">
        <f>Forecasting!C6</f>
        <v>1175229</v>
      </c>
      <c r="D7" s="171">
        <f>Forecasting!D6</f>
        <v>1418582</v>
      </c>
      <c r="E7" s="171">
        <f>Forecasting!E6</f>
        <v>1529130</v>
      </c>
      <c r="F7" s="171">
        <f>Forecasting!F6</f>
        <v>1636169.1</v>
      </c>
      <c r="G7" s="171">
        <f>Forecasting!G6</f>
        <v>1742520.0915000001</v>
      </c>
      <c r="H7" s="171">
        <f>Forecasting!H6</f>
        <v>1847071.2969900002</v>
      </c>
      <c r="I7" s="171">
        <f>Forecasting!I6</f>
        <v>1948660.2183244501</v>
      </c>
      <c r="J7" s="171">
        <f>Forecasting!J6</f>
        <v>2055836.5303322948</v>
      </c>
    </row>
    <row r="8" spans="1:10" ht="15">
      <c r="A8" s="169" t="s">
        <v>24</v>
      </c>
      <c r="B8" s="167"/>
      <c r="C8" s="171">
        <f>Forecasting!C11</f>
        <v>108819</v>
      </c>
      <c r="D8" s="171">
        <f>Forecasting!D11</f>
        <v>180518</v>
      </c>
      <c r="E8" s="171">
        <f>Forecasting!E11</f>
        <v>195017</v>
      </c>
      <c r="F8" s="171">
        <f>Forecasting!F11</f>
        <v>210897.58830013248</v>
      </c>
      <c r="G8" s="171">
        <f>Forecasting!G11</f>
        <v>228350.34491099999</v>
      </c>
      <c r="H8" s="171">
        <f>Forecasting!H11</f>
        <v>230883.91212375008</v>
      </c>
      <c r="I8" s="171">
        <f>Forecasting!I11</f>
        <v>239685.20685390732</v>
      </c>
      <c r="J8" s="171">
        <f>Forecasting!J11</f>
        <v>246700.38363987522</v>
      </c>
    </row>
    <row r="9" spans="1:10" ht="15">
      <c r="A9" s="259" t="s">
        <v>262</v>
      </c>
      <c r="B9" s="260"/>
      <c r="C9" s="261">
        <f t="shared" ref="C9:J9" si="0">C8/C7</f>
        <v>9.2593868939585391E-2</v>
      </c>
      <c r="D9" s="261">
        <f t="shared" si="0"/>
        <v>0.12725242530921724</v>
      </c>
      <c r="E9" s="261">
        <f t="shared" si="0"/>
        <v>0.12753461118413739</v>
      </c>
      <c r="F9" s="261">
        <f t="shared" si="0"/>
        <v>0.1288971832435489</v>
      </c>
      <c r="G9" s="261">
        <f t="shared" si="0"/>
        <v>0.13104603271141105</v>
      </c>
      <c r="H9" s="261">
        <f t="shared" si="0"/>
        <v>0.12500000000000003</v>
      </c>
      <c r="I9" s="261">
        <f t="shared" si="0"/>
        <v>0.12299999999999998</v>
      </c>
      <c r="J9" s="261">
        <f t="shared" si="0"/>
        <v>0.11999999999999993</v>
      </c>
    </row>
    <row r="10" spans="1:10" ht="15">
      <c r="A10" s="259"/>
      <c r="B10" s="260"/>
      <c r="C10" s="262"/>
      <c r="D10" s="262"/>
      <c r="E10" s="262"/>
      <c r="F10" s="262"/>
      <c r="G10" s="262"/>
      <c r="H10" s="262"/>
      <c r="I10" s="262"/>
      <c r="J10" s="262"/>
    </row>
    <row r="11" spans="1:10" ht="15">
      <c r="A11" s="169" t="s">
        <v>8</v>
      </c>
      <c r="B11" s="167"/>
      <c r="C11" s="171">
        <f>Forecasting!C21</f>
        <v>57621</v>
      </c>
      <c r="D11" s="171">
        <f>Forecasting!D21</f>
        <v>110053</v>
      </c>
      <c r="E11" s="171">
        <f>Forecasting!E21</f>
        <v>109213</v>
      </c>
      <c r="F11" s="171">
        <f>Forecasting!F21</f>
        <v>130902.43934209802</v>
      </c>
      <c r="G11" s="171">
        <f>Forecasting!G21</f>
        <v>142191.40090313999</v>
      </c>
      <c r="H11" s="171">
        <f>Forecasting!H21</f>
        <v>142467.76058071505</v>
      </c>
      <c r="I11" s="171">
        <f>Forecasting!I21</f>
        <v>147427.52888953412</v>
      </c>
      <c r="J11" s="171">
        <f>Forecasting!J21</f>
        <v>150980.14448112069</v>
      </c>
    </row>
    <row r="12" spans="1:10" ht="15">
      <c r="A12" s="259" t="s">
        <v>263</v>
      </c>
      <c r="B12" s="260"/>
      <c r="C12" s="261">
        <f t="shared" ref="C12:J12" si="1">C11/C7</f>
        <v>4.9029593381375032E-2</v>
      </c>
      <c r="D12" s="261">
        <f t="shared" si="1"/>
        <v>7.7579582992030063E-2</v>
      </c>
      <c r="E12" s="261">
        <f t="shared" si="1"/>
        <v>7.1421658067005428E-2</v>
      </c>
      <c r="F12" s="261">
        <f t="shared" si="1"/>
        <v>8.0005446467665234E-2</v>
      </c>
      <c r="G12" s="261">
        <f t="shared" si="1"/>
        <v>8.1601010855914133E-2</v>
      </c>
      <c r="H12" s="261">
        <f t="shared" si="1"/>
        <v>7.7131706184207116E-2</v>
      </c>
      <c r="I12" s="261">
        <f t="shared" si="1"/>
        <v>7.5655841640929714E-2</v>
      </c>
      <c r="J12" s="261">
        <f t="shared" si="1"/>
        <v>7.3439761505121728E-2</v>
      </c>
    </row>
    <row r="13" spans="1:10" ht="15">
      <c r="A13" s="167"/>
      <c r="B13" s="167"/>
      <c r="C13" s="167"/>
      <c r="D13" s="167"/>
      <c r="E13" s="167"/>
      <c r="F13" s="167"/>
      <c r="G13" s="167"/>
      <c r="H13" s="167"/>
      <c r="I13" s="167"/>
      <c r="J13" s="167"/>
    </row>
    <row r="14" spans="1:10" ht="15">
      <c r="A14" s="166" t="s">
        <v>264</v>
      </c>
      <c r="B14" s="166"/>
      <c r="C14" s="167"/>
      <c r="D14" s="167"/>
      <c r="E14" s="167"/>
      <c r="F14" s="167"/>
      <c r="G14" s="167"/>
      <c r="H14" s="167"/>
      <c r="I14" s="167"/>
      <c r="J14" s="167"/>
    </row>
    <row r="15" spans="1:10" ht="15">
      <c r="A15" s="169" t="s">
        <v>265</v>
      </c>
      <c r="B15" s="167"/>
      <c r="C15" s="171">
        <f>Forecasting!C74</f>
        <v>86346</v>
      </c>
      <c r="D15" s="171">
        <f>Forecasting!D74</f>
        <v>157347</v>
      </c>
      <c r="E15" s="171">
        <f>Forecasting!E74</f>
        <v>140502</v>
      </c>
      <c r="F15" s="171">
        <f>Forecasting!F74</f>
        <v>164695.00676241406</v>
      </c>
      <c r="G15" s="171">
        <f>Forecasting!G74</f>
        <v>182980.38413085061</v>
      </c>
      <c r="H15" s="171">
        <f>Forecasting!H74</f>
        <v>185837.78318411086</v>
      </c>
      <c r="I15" s="171">
        <f>Forecasting!I74</f>
        <v>192280.67016522601</v>
      </c>
      <c r="J15" s="171">
        <f>Forecasting!J74</f>
        <v>198401.43408447425</v>
      </c>
    </row>
    <row r="16" spans="1:10" ht="15">
      <c r="A16" s="169" t="s">
        <v>266</v>
      </c>
      <c r="B16" s="167"/>
      <c r="C16" s="171">
        <f>Forecasting!C78</f>
        <v>-61154</v>
      </c>
      <c r="D16" s="171">
        <f>Forecasting!D78</f>
        <v>-67269</v>
      </c>
      <c r="E16" s="171">
        <f>Forecasting!E78</f>
        <v>-83486</v>
      </c>
      <c r="F16" s="171">
        <f>Forecasting!F78</f>
        <v>-70117.360000000044</v>
      </c>
      <c r="G16" s="171">
        <f>Forecasting!G78</f>
        <v>-53726.968399999954</v>
      </c>
      <c r="H16" s="171">
        <f>Forecasting!H78</f>
        <v>-55587.112254000036</v>
      </c>
      <c r="I16" s="171">
        <f>Forecasting!I78</f>
        <v>-57192.30335171998</v>
      </c>
      <c r="J16" s="171">
        <f>Forecasting!J78</f>
        <v>-60337.880036064598</v>
      </c>
    </row>
    <row r="17" spans="1:12" ht="15">
      <c r="A17" s="169" t="s">
        <v>267</v>
      </c>
      <c r="B17" s="167"/>
      <c r="C17" s="171">
        <f>Forecasting!C84</f>
        <v>-18125</v>
      </c>
      <c r="D17" s="171">
        <f>Forecasting!D84</f>
        <v>-26125</v>
      </c>
      <c r="E17" s="171">
        <f>Forecasting!E84</f>
        <v>-39627</v>
      </c>
      <c r="F17" s="171">
        <f>Forecasting!F84</f>
        <v>-39268.731802629401</v>
      </c>
      <c r="G17" s="171">
        <f>Forecasting!G84</f>
        <v>-42657.420270941999</v>
      </c>
      <c r="H17" s="171">
        <f>Forecasting!H84</f>
        <v>-42740.328174214512</v>
      </c>
      <c r="I17" s="171">
        <f>Forecasting!I84</f>
        <v>-44228.258666860238</v>
      </c>
      <c r="J17" s="171">
        <f>Forecasting!J84</f>
        <v>-45294.043344336205</v>
      </c>
    </row>
    <row r="18" spans="1:12" ht="15.6" thickBot="1">
      <c r="A18" s="169" t="s">
        <v>50</v>
      </c>
      <c r="B18" s="167"/>
      <c r="C18" s="263">
        <f t="shared" ref="C18:J18" si="2">SUM(C15:C17)</f>
        <v>7067</v>
      </c>
      <c r="D18" s="263">
        <f t="shared" si="2"/>
        <v>63953</v>
      </c>
      <c r="E18" s="263">
        <f t="shared" si="2"/>
        <v>17389</v>
      </c>
      <c r="F18" s="263">
        <f t="shared" si="2"/>
        <v>55308.914959784619</v>
      </c>
      <c r="G18" s="263">
        <f t="shared" si="2"/>
        <v>86595.995459908649</v>
      </c>
      <c r="H18" s="263">
        <f t="shared" si="2"/>
        <v>87510.342755896301</v>
      </c>
      <c r="I18" s="263">
        <f t="shared" si="2"/>
        <v>90860.108146645798</v>
      </c>
      <c r="J18" s="263">
        <f t="shared" si="2"/>
        <v>92769.510704073444</v>
      </c>
    </row>
    <row r="19" spans="1:12" ht="1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L19" t="s">
        <v>268</v>
      </c>
    </row>
    <row r="20" spans="1:12" ht="15.6" thickBot="1">
      <c r="A20" s="167"/>
      <c r="B20" s="167"/>
      <c r="C20" s="167"/>
      <c r="D20" s="167"/>
      <c r="E20" s="167"/>
      <c r="F20" s="167"/>
      <c r="G20" s="167"/>
      <c r="H20" s="167"/>
      <c r="I20" s="167"/>
      <c r="J20" s="167"/>
    </row>
    <row r="21" spans="1:12" ht="21.6" thickBot="1">
      <c r="A21" s="268" t="s">
        <v>1</v>
      </c>
      <c r="B21" s="269"/>
      <c r="C21" s="269"/>
      <c r="D21" s="270"/>
      <c r="E21" s="167"/>
      <c r="F21" s="265" t="s">
        <v>2</v>
      </c>
      <c r="G21" s="266"/>
      <c r="H21" s="266"/>
      <c r="I21" s="266"/>
      <c r="J21" s="267"/>
    </row>
    <row r="22" spans="1:12" ht="1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</sheetData>
  <mergeCells count="2">
    <mergeCell ref="F21:J21"/>
    <mergeCell ref="A21:D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EC2D-D658-4BB9-B009-F55B4C3A473C}">
  <sheetPr>
    <tabColor theme="1"/>
    <pageSetUpPr autoPageBreaks="0"/>
  </sheetPr>
  <dimension ref="A1:U10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.109375" defaultRowHeight="15" customHeight="1"/>
  <cols>
    <col min="1" max="1" width="4.6640625" style="4" customWidth="1"/>
    <col min="2" max="2" width="14.6640625" style="4" customWidth="1"/>
    <col min="3" max="3" width="10.6640625" style="4" customWidth="1"/>
    <col min="4" max="4" width="6.6640625" style="4" customWidth="1"/>
    <col min="5" max="8" width="11.6640625" style="4" customWidth="1"/>
    <col min="9" max="9" width="4.5546875" style="4" customWidth="1"/>
    <col min="10" max="12" width="10.5546875" style="8" customWidth="1"/>
    <col min="13" max="13" width="11.6640625" style="8" customWidth="1"/>
    <col min="14" max="14" width="6.6640625" style="4" customWidth="1"/>
    <col min="15" max="15" width="12.6640625" style="4" customWidth="1"/>
    <col min="16" max="16" width="15.6640625" style="4" customWidth="1"/>
    <col min="17" max="17" width="4.6640625" style="4" customWidth="1"/>
    <col min="18" max="21" width="11.6640625" style="4" customWidth="1"/>
    <col min="22" max="16384" width="9.109375" style="4"/>
  </cols>
  <sheetData>
    <row r="1" spans="1:21" ht="50.25" customHeight="1">
      <c r="A1" s="1"/>
      <c r="B1" s="90"/>
      <c r="C1" s="90"/>
      <c r="D1" s="90"/>
      <c r="E1" s="90"/>
      <c r="F1" s="2"/>
      <c r="G1" s="2"/>
      <c r="H1" s="2"/>
      <c r="I1" s="2"/>
      <c r="J1" s="2"/>
      <c r="K1" s="2"/>
      <c r="L1" s="2"/>
      <c r="M1" s="92"/>
      <c r="O1" s="92"/>
      <c r="P1" s="92"/>
      <c r="Q1" s="92"/>
      <c r="R1" s="92"/>
      <c r="S1" s="92"/>
      <c r="T1" s="92"/>
      <c r="U1" s="92"/>
    </row>
    <row r="2" spans="1:21" ht="15" customHeight="1">
      <c r="A2" s="5"/>
      <c r="B2" s="5"/>
      <c r="C2" s="6"/>
      <c r="D2" s="6"/>
      <c r="E2" s="7"/>
      <c r="F2" s="7"/>
      <c r="G2" s="7"/>
      <c r="H2" s="3"/>
    </row>
    <row r="3" spans="1:21" s="14" customFormat="1" ht="15" customHeight="1">
      <c r="A3" s="1"/>
      <c r="B3" s="9" t="s">
        <v>1</v>
      </c>
      <c r="C3" s="10"/>
      <c r="D3" s="10"/>
      <c r="E3" s="10"/>
      <c r="F3" s="11"/>
      <c r="G3" s="11"/>
      <c r="H3" s="11"/>
      <c r="I3" s="17"/>
      <c r="J3" s="11"/>
      <c r="K3" s="11"/>
      <c r="L3" s="11"/>
    </row>
    <row r="4" spans="1:21" s="14" customFormat="1" ht="15" customHeight="1">
      <c r="B4" s="15"/>
      <c r="C4" s="16"/>
      <c r="D4" s="16"/>
      <c r="F4" s="17"/>
      <c r="G4" s="17"/>
      <c r="H4" s="17"/>
    </row>
    <row r="5" spans="1:21" s="14" customFormat="1" ht="15" customHeight="1" thickBot="1">
      <c r="B5" s="22" t="s">
        <v>4</v>
      </c>
      <c r="C5" s="16"/>
      <c r="D5" s="16"/>
      <c r="F5" s="23">
        <v>2023</v>
      </c>
      <c r="G5" s="23">
        <f t="shared" ref="G5:H5" si="0">F5+1</f>
        <v>2024</v>
      </c>
      <c r="H5" s="23">
        <f t="shared" si="0"/>
        <v>2025</v>
      </c>
      <c r="J5" s="97" t="s">
        <v>53</v>
      </c>
      <c r="K5" s="98" t="s">
        <v>54</v>
      </c>
      <c r="L5" s="99" t="s">
        <v>55</v>
      </c>
    </row>
    <row r="6" spans="1:21" s="14" customFormat="1" ht="15" customHeight="1">
      <c r="B6" s="22"/>
      <c r="C6" s="16"/>
      <c r="D6" s="16"/>
      <c r="F6" s="26"/>
      <c r="G6" s="26"/>
      <c r="H6" s="26"/>
    </row>
    <row r="7" spans="1:21" ht="15" customHeight="1">
      <c r="A7" s="14"/>
      <c r="F7" s="28"/>
      <c r="G7" s="28"/>
      <c r="H7" s="28"/>
    </row>
    <row r="8" spans="1:21" ht="15" customHeight="1">
      <c r="A8" s="14"/>
      <c r="B8" s="35" t="s">
        <v>7</v>
      </c>
      <c r="C8" s="36"/>
      <c r="D8" s="36"/>
      <c r="F8" s="37">
        <v>58000</v>
      </c>
      <c r="G8" s="37">
        <v>62000</v>
      </c>
      <c r="H8" s="37">
        <v>65000</v>
      </c>
    </row>
    <row r="9" spans="1:21" s="1" customFormat="1" ht="15" customHeight="1">
      <c r="B9" s="35" t="s">
        <v>10</v>
      </c>
      <c r="C9" s="36"/>
      <c r="D9" s="36"/>
      <c r="F9" s="42">
        <v>-30000</v>
      </c>
      <c r="G9" s="42">
        <v>-31000</v>
      </c>
      <c r="H9" s="42">
        <v>-32000</v>
      </c>
    </row>
    <row r="10" spans="1:21" s="1" customFormat="1" ht="15" customHeight="1">
      <c r="B10" s="44" t="s">
        <v>13</v>
      </c>
      <c r="C10" s="45"/>
      <c r="D10" s="45"/>
      <c r="F10" s="46">
        <f>SUM('Historic Model'!E7:E8)</f>
        <v>312794</v>
      </c>
      <c r="G10" s="46">
        <f>SUM('Historic Model'!F7:F8)</f>
        <v>421173</v>
      </c>
      <c r="H10" s="46">
        <f>SUM('Historic Model'!G7:G8)</f>
        <v>454222</v>
      </c>
      <c r="J10" s="103">
        <f>SUM('Historic Model'!E9:G9)</f>
        <v>1188189</v>
      </c>
      <c r="K10" s="102">
        <f>SUM(F10:H10)</f>
        <v>1188189</v>
      </c>
      <c r="L10" s="108" cm="1">
        <f t="array" ref="L10">IF(SUM(ISBLANK('Historic Model'!E9:G9)*1)&gt;0,0,IF(J10=K10,1,0))</f>
        <v>1</v>
      </c>
    </row>
    <row r="11" spans="1:21" s="1" customFormat="1" ht="15" customHeight="1">
      <c r="B11" s="48"/>
      <c r="C11" s="49"/>
      <c r="D11" s="49"/>
      <c r="F11" s="50"/>
      <c r="G11" s="50"/>
      <c r="H11" s="50"/>
      <c r="L11" s="109"/>
    </row>
    <row r="12" spans="1:21" s="1" customFormat="1" ht="15" customHeight="1">
      <c r="A12" s="14"/>
      <c r="B12" s="35"/>
      <c r="C12" s="54"/>
      <c r="D12" s="54"/>
      <c r="F12" s="55"/>
      <c r="G12" s="55"/>
      <c r="H12" s="55"/>
      <c r="L12" s="109"/>
    </row>
    <row r="13" spans="1:21" s="1" customFormat="1" ht="15" customHeight="1">
      <c r="A13" s="14"/>
      <c r="B13" s="35" t="s">
        <v>20</v>
      </c>
      <c r="C13" s="59"/>
      <c r="D13" s="59"/>
      <c r="F13" s="37">
        <v>-6000</v>
      </c>
      <c r="G13" s="37">
        <v>-7000</v>
      </c>
      <c r="H13" s="37">
        <v>-8000</v>
      </c>
      <c r="L13" s="109"/>
    </row>
    <row r="14" spans="1:21" s="1" customFormat="1" ht="15" customHeight="1">
      <c r="B14" s="35" t="s">
        <v>22</v>
      </c>
      <c r="C14" s="59"/>
      <c r="D14" s="59"/>
      <c r="F14" s="42">
        <v>-2000</v>
      </c>
      <c r="G14" s="42">
        <v>-2000</v>
      </c>
      <c r="H14" s="42">
        <v>-2000</v>
      </c>
      <c r="L14" s="110"/>
    </row>
    <row r="15" spans="1:21" s="1" customFormat="1" ht="15" customHeight="1">
      <c r="B15" s="44" t="s">
        <v>24</v>
      </c>
      <c r="C15" s="45"/>
      <c r="D15" s="45"/>
      <c r="F15" s="46">
        <f>'Historic Model'!E9+SUM('Historic Model'!E12:E12)</f>
        <v>108819</v>
      </c>
      <c r="G15" s="46">
        <f>'Historic Model'!F9+SUM('Historic Model'!F12:F12)</f>
        <v>180518</v>
      </c>
      <c r="H15" s="46">
        <f>'Historic Model'!G9+SUM('Historic Model'!G12:G12)</f>
        <v>195017</v>
      </c>
      <c r="J15" s="103">
        <f>SUM('Historic Model'!E13:G13)</f>
        <v>484354</v>
      </c>
      <c r="K15" s="102">
        <f>SUM(F15:H15)</f>
        <v>484354</v>
      </c>
      <c r="L15" s="108" cm="1">
        <f t="array" ref="L15">IF(SUM(ISBLANK('Historic Model'!E13:G13)*1)&gt;0,0,IF(J15=K15,1,0))</f>
        <v>1</v>
      </c>
    </row>
    <row r="16" spans="1:21" s="1" customFormat="1" ht="15" customHeight="1">
      <c r="B16" s="48"/>
      <c r="C16" s="49"/>
      <c r="D16" s="49"/>
      <c r="F16" s="50"/>
      <c r="G16" s="50"/>
      <c r="H16" s="50"/>
      <c r="L16" s="109"/>
    </row>
    <row r="17" spans="1:12" s="1" customFormat="1" ht="15" customHeight="1">
      <c r="A17" s="14"/>
      <c r="B17" s="35"/>
      <c r="C17" s="54"/>
      <c r="D17" s="54"/>
      <c r="F17" s="50"/>
      <c r="G17" s="50"/>
      <c r="H17" s="50"/>
      <c r="L17" s="109"/>
    </row>
    <row r="18" spans="1:12" s="1" customFormat="1" ht="15" customHeight="1">
      <c r="B18" s="35" t="s">
        <v>11</v>
      </c>
      <c r="C18" s="59"/>
      <c r="D18" s="59"/>
      <c r="F18" s="42">
        <v>-4000</v>
      </c>
      <c r="G18" s="42">
        <v>-4000</v>
      </c>
      <c r="H18" s="42">
        <v>-4000</v>
      </c>
      <c r="L18" s="109"/>
    </row>
    <row r="19" spans="1:12" s="1" customFormat="1" ht="15" customHeight="1">
      <c r="B19" s="44" t="s">
        <v>30</v>
      </c>
      <c r="C19" s="45"/>
      <c r="D19" s="45"/>
      <c r="F19" s="46">
        <f>'Historic Model'!E16+'Historic Model'!E13</f>
        <v>80586</v>
      </c>
      <c r="G19" s="46">
        <f>'Historic Model'!F16+'Historic Model'!F13</f>
        <v>150295</v>
      </c>
      <c r="H19" s="46">
        <f>'Historic Model'!G16+'Historic Model'!G13</f>
        <v>163424</v>
      </c>
      <c r="J19" s="103">
        <f>SUM('Historic Model'!E17:G17)</f>
        <v>394305</v>
      </c>
      <c r="K19" s="102">
        <f>SUM(F19:H19)</f>
        <v>394305</v>
      </c>
      <c r="L19" s="108" cm="1">
        <f t="array" ref="L19">IF(SUM(ISBLANK('Historic Model'!E17:G17)*1)&gt;0,0,IF(J19=K19,1,0))</f>
        <v>1</v>
      </c>
    </row>
    <row r="20" spans="1:12" s="1" customFormat="1" ht="15" customHeight="1">
      <c r="B20" s="48"/>
      <c r="C20" s="49"/>
      <c r="D20" s="49"/>
      <c r="F20" s="50"/>
      <c r="G20" s="50"/>
      <c r="H20" s="50"/>
      <c r="L20" s="109"/>
    </row>
    <row r="21" spans="1:12" s="1" customFormat="1" ht="15" customHeight="1">
      <c r="A21" s="14"/>
      <c r="B21" s="35"/>
      <c r="C21" s="54"/>
      <c r="D21" s="54"/>
      <c r="F21" s="72"/>
      <c r="G21" s="72"/>
      <c r="H21" s="72"/>
      <c r="L21" s="109"/>
    </row>
    <row r="22" spans="1:12" s="1" customFormat="1" ht="15" customHeight="1">
      <c r="B22" s="35" t="s">
        <v>34</v>
      </c>
      <c r="C22" s="59"/>
      <c r="D22" s="59"/>
      <c r="F22" s="42">
        <v>-6000</v>
      </c>
      <c r="G22" s="42">
        <v>-6000</v>
      </c>
      <c r="H22" s="42">
        <v>-6000</v>
      </c>
      <c r="L22" s="109"/>
    </row>
    <row r="23" spans="1:12" s="1" customFormat="1" ht="15" customHeight="1">
      <c r="B23" s="44" t="s">
        <v>36</v>
      </c>
      <c r="C23" s="45"/>
      <c r="D23" s="45"/>
      <c r="F23" s="46">
        <f>'Historic Model'!E20+'Historic Model'!E17</f>
        <v>78720</v>
      </c>
      <c r="G23" s="46">
        <f>'Historic Model'!F20+'Historic Model'!F17</f>
        <v>148363</v>
      </c>
      <c r="H23" s="46">
        <f>'Historic Model'!G20+'Historic Model'!G17</f>
        <v>161493</v>
      </c>
      <c r="J23" s="103">
        <f>SUM('Historic Model'!E21:G21)</f>
        <v>388576</v>
      </c>
      <c r="K23" s="102">
        <f>SUM(F23:H23)</f>
        <v>388576</v>
      </c>
      <c r="L23" s="108" cm="1">
        <f t="array" ref="L23">IF(SUM(ISBLANK('Historic Model'!E21:G21)*1)&gt;0,0,IF(J23=K23,1,0))</f>
        <v>1</v>
      </c>
    </row>
    <row r="24" spans="1:12" s="1" customFormat="1" ht="15" customHeight="1">
      <c r="A24" s="14"/>
      <c r="B24" s="48"/>
      <c r="C24" s="49"/>
      <c r="D24" s="49"/>
      <c r="F24" s="50"/>
      <c r="G24" s="50"/>
      <c r="H24" s="50"/>
      <c r="L24" s="109"/>
    </row>
    <row r="25" spans="1:12" s="1" customFormat="1" ht="15" customHeight="1">
      <c r="A25" s="14"/>
      <c r="B25" s="48"/>
      <c r="F25" s="28"/>
      <c r="G25" s="28"/>
      <c r="H25" s="28"/>
      <c r="L25" s="109"/>
    </row>
    <row r="26" spans="1:12" s="1" customFormat="1" ht="15" customHeight="1">
      <c r="A26" s="14"/>
      <c r="B26" s="35" t="s">
        <v>41</v>
      </c>
      <c r="C26" s="59"/>
      <c r="D26" s="59"/>
      <c r="F26" s="37">
        <v>-1000</v>
      </c>
      <c r="G26" s="37">
        <v>-1000</v>
      </c>
      <c r="H26" s="37">
        <v>-1000</v>
      </c>
      <c r="L26" s="109"/>
    </row>
    <row r="27" spans="1:12" s="1" customFormat="1" ht="15" customHeight="1">
      <c r="B27" s="35" t="s">
        <v>14</v>
      </c>
      <c r="C27" s="59"/>
      <c r="D27" s="59"/>
      <c r="F27" s="42">
        <v>-2000</v>
      </c>
      <c r="G27" s="42">
        <v>-2000</v>
      </c>
      <c r="H27" s="42">
        <v>-2000</v>
      </c>
      <c r="L27" s="109"/>
    </row>
    <row r="28" spans="1:12" s="1" customFormat="1" ht="15" customHeight="1">
      <c r="B28" s="35" t="s">
        <v>45</v>
      </c>
      <c r="C28" s="45"/>
      <c r="D28" s="45"/>
      <c r="F28" s="77">
        <f>SUM('Historic Model'!E24:E25)</f>
        <v>-21099</v>
      </c>
      <c r="G28" s="77">
        <f>SUM('Historic Model'!F24:F25)</f>
        <v>-38310</v>
      </c>
      <c r="H28" s="77">
        <f>SUM('Historic Model'!G24:G25)</f>
        <v>-52280</v>
      </c>
      <c r="J28" s="103">
        <f>SUM('Historic Model'!E26:G26)</f>
        <v>-111689</v>
      </c>
      <c r="K28" s="102">
        <f>SUM(F28:H28)</f>
        <v>-111689</v>
      </c>
      <c r="L28" s="108" cm="1">
        <f t="array" ref="L28">IF(SUM(ISBLANK('Historic Model'!E26:G26)*1)&gt;0,0,IF(J28=K28,1,0))</f>
        <v>1</v>
      </c>
    </row>
    <row r="29" spans="1:12" s="1" customFormat="1" ht="15" customHeight="1">
      <c r="B29" s="48"/>
      <c r="F29" s="78"/>
      <c r="G29" s="78"/>
      <c r="H29" s="78"/>
      <c r="L29" s="109"/>
    </row>
    <row r="30" spans="1:12" s="1" customFormat="1" ht="15" customHeight="1">
      <c r="A30" s="14"/>
      <c r="B30" s="48"/>
      <c r="F30" s="28"/>
      <c r="G30" s="28"/>
      <c r="H30" s="28"/>
      <c r="L30" s="109"/>
    </row>
    <row r="31" spans="1:12" s="1" customFormat="1" ht="15" customHeight="1" thickBot="1">
      <c r="B31" s="44" t="s">
        <v>8</v>
      </c>
      <c r="C31" s="45"/>
      <c r="D31" s="45"/>
      <c r="F31" s="79">
        <f>'Historic Model'!E26+'Historic Model'!E21</f>
        <v>57621</v>
      </c>
      <c r="G31" s="79">
        <f>'Historic Model'!F26+'Historic Model'!F21</f>
        <v>110053</v>
      </c>
      <c r="H31" s="79">
        <f>'Historic Model'!G26+'Historic Model'!G21</f>
        <v>109213</v>
      </c>
      <c r="J31" s="106">
        <f>SUM('Historic Model'!E29:G29)</f>
        <v>276887</v>
      </c>
      <c r="K31" s="107">
        <f>SUM(F31:H31)</f>
        <v>276887</v>
      </c>
      <c r="L31" s="111" cm="1">
        <f t="array" ref="L31">IF(SUM(ISBLANK('Historic Model'!E29:G29)*1)&gt;0,0,IF(J31=K31,1,0))</f>
        <v>1</v>
      </c>
    </row>
    <row r="32" spans="1:12" s="1" customFormat="1" ht="15" customHeight="1">
      <c r="A32" s="84"/>
      <c r="F32" s="78"/>
      <c r="G32" s="78"/>
      <c r="H32" s="78"/>
      <c r="L32" s="100"/>
    </row>
    <row r="33" spans="1:13" ht="15" customHeight="1">
      <c r="A33" s="1"/>
      <c r="B33" s="88"/>
      <c r="C33" s="88"/>
      <c r="D33" s="88"/>
      <c r="E33" s="88"/>
      <c r="F33" s="88"/>
      <c r="G33" s="88"/>
      <c r="H33" s="88"/>
      <c r="J33" s="88"/>
      <c r="K33" s="88"/>
      <c r="L33" s="88"/>
    </row>
    <row r="34" spans="1:13" ht="15" customHeight="1">
      <c r="J34" s="4"/>
      <c r="K34" s="4"/>
      <c r="L34" s="4"/>
    </row>
    <row r="35" spans="1:13" ht="15" customHeight="1">
      <c r="B35" s="9" t="s">
        <v>2</v>
      </c>
      <c r="D35" s="12"/>
      <c r="E35" s="12"/>
      <c r="F35" s="12"/>
      <c r="G35" s="13"/>
      <c r="H35" s="13"/>
      <c r="I35" s="20"/>
      <c r="J35" s="13"/>
      <c r="K35" s="13"/>
      <c r="L35" s="13"/>
    </row>
    <row r="36" spans="1:13" ht="15" customHeight="1">
      <c r="B36" s="18"/>
      <c r="D36" s="19"/>
      <c r="F36" s="20"/>
      <c r="G36" s="20"/>
      <c r="H36" s="20"/>
      <c r="L36" s="101"/>
    </row>
    <row r="37" spans="1:13" ht="15" customHeight="1" thickBot="1">
      <c r="B37" s="22" t="s">
        <v>4</v>
      </c>
      <c r="D37" s="24"/>
      <c r="F37" s="23">
        <f>F$5</f>
        <v>2023</v>
      </c>
      <c r="G37" s="23">
        <f>G$5</f>
        <v>2024</v>
      </c>
      <c r="H37" s="23">
        <f>H$5</f>
        <v>2025</v>
      </c>
      <c r="J37" s="97" t="s">
        <v>53</v>
      </c>
      <c r="K37" s="98" t="s">
        <v>54</v>
      </c>
      <c r="L37" s="99" t="s">
        <v>55</v>
      </c>
    </row>
    <row r="38" spans="1:13" ht="15" customHeight="1">
      <c r="B38" s="22"/>
      <c r="D38" s="24"/>
      <c r="F38" s="27"/>
      <c r="G38" s="27"/>
      <c r="H38" s="27"/>
      <c r="L38" s="101"/>
    </row>
    <row r="39" spans="1:13" ht="15" customHeight="1">
      <c r="B39" s="30" t="s">
        <v>5</v>
      </c>
      <c r="D39" s="31"/>
      <c r="F39" s="32"/>
      <c r="G39" s="32"/>
      <c r="H39" s="32"/>
    </row>
    <row r="40" spans="1:13" ht="15" customHeight="1">
      <c r="B40" s="35" t="s">
        <v>8</v>
      </c>
      <c r="D40" s="29"/>
      <c r="F40" s="38">
        <f>'Historic Model'!E29</f>
        <v>57621</v>
      </c>
      <c r="G40" s="38">
        <f>'Historic Model'!F29</f>
        <v>110053</v>
      </c>
      <c r="H40" s="38">
        <f>'Historic Model'!G29</f>
        <v>109213</v>
      </c>
      <c r="J40" s="104" t="e">
        <f>SUM('Historic Model'!#REF!)</f>
        <v>#REF!</v>
      </c>
      <c r="K40" s="105">
        <f>SUM(F40:H40)</f>
        <v>276887</v>
      </c>
      <c r="L40" s="112" t="e" cm="1">
        <f t="array" ref="L40">IF(SUM(ISBLANK('Historic Model'!#REF!)*1)&gt;0,0,IF(J40=K40,1,0))</f>
        <v>#REF!</v>
      </c>
    </row>
    <row r="41" spans="1:13" ht="15" customHeight="1">
      <c r="B41" s="35" t="s">
        <v>11</v>
      </c>
      <c r="D41" s="29"/>
      <c r="F41" s="38">
        <f>-'Historic Model'!E16</f>
        <v>28233</v>
      </c>
      <c r="G41" s="38">
        <f>-'Historic Model'!F16</f>
        <v>30223</v>
      </c>
      <c r="H41" s="38">
        <f>-'Historic Model'!G16</f>
        <v>31593</v>
      </c>
      <c r="J41" s="95" t="e">
        <f>SUM('Historic Model'!#REF!)</f>
        <v>#REF!</v>
      </c>
      <c r="K41" s="93">
        <f>SUM(F41:H41)</f>
        <v>90049</v>
      </c>
      <c r="L41" s="113" t="e" cm="1">
        <f t="array" ref="L41">IF(SUM(ISBLANK('Historic Model'!#REF!)*1)&gt;0,0,IF(J41=K41,1,0))</f>
        <v>#REF!</v>
      </c>
    </row>
    <row r="42" spans="1:13" ht="15" customHeight="1">
      <c r="B42" s="35" t="s">
        <v>14</v>
      </c>
      <c r="D42" s="29"/>
      <c r="F42" s="38">
        <f>-'Historic Model'!E25</f>
        <v>-1376</v>
      </c>
      <c r="G42" s="38">
        <f>-'Historic Model'!F25</f>
        <v>1999</v>
      </c>
      <c r="H42" s="38">
        <f>-'Historic Model'!G25</f>
        <v>13862</v>
      </c>
      <c r="J42" s="96" t="e">
        <f>SUM('Historic Model'!#REF!)</f>
        <v>#REF!</v>
      </c>
      <c r="K42" s="94">
        <f t="shared" ref="K42" si="1">SUM(F42:H42)</f>
        <v>14485</v>
      </c>
      <c r="L42" s="114" t="e" cm="1">
        <f t="array" ref="L42">IF(SUM(ISBLANK('Historic Model'!#REF!)*1)&gt;0,0,IF(J42=K42,1,0))</f>
        <v>#REF!</v>
      </c>
    </row>
    <row r="43" spans="1:13" ht="15" customHeight="1">
      <c r="B43" s="51" t="s">
        <v>16</v>
      </c>
      <c r="D43" s="29"/>
      <c r="F43" s="47">
        <v>1000</v>
      </c>
      <c r="G43" s="47">
        <v>1000</v>
      </c>
      <c r="H43" s="47">
        <v>1000</v>
      </c>
      <c r="L43" s="115"/>
    </row>
    <row r="44" spans="1:13" ht="15" customHeight="1">
      <c r="B44" s="51" t="s">
        <v>18</v>
      </c>
      <c r="D44" s="29"/>
      <c r="F44" s="47">
        <v>-1000</v>
      </c>
      <c r="G44" s="47">
        <v>-1000</v>
      </c>
      <c r="H44" s="47">
        <v>-1000</v>
      </c>
      <c r="L44" s="115"/>
    </row>
    <row r="45" spans="1:13" ht="15" customHeight="1">
      <c r="B45" s="51" t="s">
        <v>21</v>
      </c>
      <c r="D45" s="29"/>
      <c r="F45" s="60">
        <v>1000</v>
      </c>
      <c r="G45" s="60">
        <v>1000</v>
      </c>
      <c r="H45" s="60">
        <v>1000</v>
      </c>
      <c r="J45" s="4"/>
      <c r="K45" s="4"/>
      <c r="L45" s="110"/>
      <c r="M45" s="4"/>
    </row>
    <row r="46" spans="1:13" ht="15" customHeight="1">
      <c r="B46" s="35" t="s">
        <v>23</v>
      </c>
      <c r="D46" s="57"/>
      <c r="F46" s="38">
        <f>SUM('Historic Model'!K7:K10)</f>
        <v>131690</v>
      </c>
      <c r="G46" s="38">
        <f>SUM('Historic Model'!L7:L10)</f>
        <v>202559</v>
      </c>
      <c r="H46" s="38">
        <f>SUM('Historic Model'!M7:M10)</f>
        <v>225356</v>
      </c>
      <c r="J46" s="103">
        <f>SUM('Historic Model'!K17:M17)</f>
        <v>454250</v>
      </c>
      <c r="K46" s="102">
        <f>SUM(F46:H46)</f>
        <v>559605</v>
      </c>
      <c r="L46" s="108" cm="1">
        <f t="array" ref="L46">IF(SUM(ISBLANK('Historic Model'!K17:M17)*1)&gt;0,0,IF(J46=K46,1,0))</f>
        <v>0</v>
      </c>
    </row>
    <row r="47" spans="1:13" ht="15" customHeight="1">
      <c r="B47" s="28"/>
      <c r="D47" s="33"/>
      <c r="F47" s="40"/>
      <c r="G47" s="64"/>
      <c r="H47" s="28"/>
      <c r="L47" s="115"/>
    </row>
    <row r="48" spans="1:13" ht="15" customHeight="1">
      <c r="B48" s="28"/>
      <c r="D48" s="33"/>
      <c r="F48" s="40"/>
      <c r="G48" s="64"/>
      <c r="H48" s="65"/>
      <c r="L48" s="115"/>
    </row>
    <row r="49" spans="2:13" ht="15" customHeight="1">
      <c r="B49" s="30" t="s">
        <v>26</v>
      </c>
      <c r="D49" s="33"/>
      <c r="F49" s="40"/>
      <c r="G49" s="64"/>
      <c r="H49" s="64"/>
      <c r="L49" s="115"/>
    </row>
    <row r="50" spans="2:13" ht="15" customHeight="1">
      <c r="B50" s="35" t="s">
        <v>28</v>
      </c>
      <c r="D50" s="68"/>
      <c r="F50" s="60">
        <v>-4000</v>
      </c>
      <c r="G50" s="60">
        <v>-4000</v>
      </c>
      <c r="H50" s="60">
        <v>-4000</v>
      </c>
      <c r="J50" s="4"/>
      <c r="K50" s="4"/>
      <c r="L50" s="110"/>
      <c r="M50" s="4"/>
    </row>
    <row r="51" spans="2:13" ht="15" customHeight="1">
      <c r="B51" s="35" t="s">
        <v>23</v>
      </c>
      <c r="D51" s="57"/>
      <c r="F51" s="38">
        <f>'Historic Model'!K35</f>
        <v>0</v>
      </c>
      <c r="G51" s="38">
        <f>'Historic Model'!L35</f>
        <v>0</v>
      </c>
      <c r="H51" s="38">
        <f>'Historic Model'!M35</f>
        <v>0</v>
      </c>
      <c r="J51" s="103" t="e">
        <f>SUM('Historic Model'!#REF!)</f>
        <v>#REF!</v>
      </c>
      <c r="K51" s="102">
        <f>SUM(F51:H51)</f>
        <v>0</v>
      </c>
      <c r="L51" s="108" t="e" cm="1">
        <f t="array" ref="L51">IF(SUM(ISBLANK('Historic Model'!#REF!)*1)&gt;0,0,IF(J51=K51,1,0))</f>
        <v>#REF!</v>
      </c>
    </row>
    <row r="52" spans="2:13" ht="15" customHeight="1">
      <c r="B52" s="70"/>
      <c r="D52" s="33"/>
      <c r="F52" s="40"/>
      <c r="G52" s="64"/>
      <c r="H52" s="28"/>
      <c r="L52" s="115"/>
    </row>
    <row r="53" spans="2:13" ht="15" customHeight="1">
      <c r="B53" s="70"/>
      <c r="D53" s="33"/>
      <c r="F53" s="40"/>
      <c r="G53" s="64"/>
      <c r="H53" s="65"/>
      <c r="L53" s="115"/>
    </row>
    <row r="54" spans="2:13" ht="15" customHeight="1">
      <c r="B54" s="30" t="s">
        <v>35</v>
      </c>
      <c r="D54" s="33"/>
      <c r="F54" s="40"/>
      <c r="G54" s="64"/>
      <c r="H54" s="64"/>
      <c r="L54" s="115"/>
    </row>
    <row r="55" spans="2:13" ht="15" customHeight="1">
      <c r="B55" s="35" t="s">
        <v>37</v>
      </c>
      <c r="D55" s="68"/>
      <c r="F55" s="47">
        <v>-1000</v>
      </c>
      <c r="G55" s="41">
        <v>-2000</v>
      </c>
      <c r="H55" s="41">
        <v>-1000</v>
      </c>
      <c r="L55" s="115"/>
    </row>
    <row r="56" spans="2:13" ht="15" customHeight="1">
      <c r="B56" s="35" t="s">
        <v>38</v>
      </c>
      <c r="D56" s="68"/>
      <c r="F56" s="47">
        <v>-3000</v>
      </c>
      <c r="G56" s="47">
        <v>-3000</v>
      </c>
      <c r="H56" s="47">
        <v>-3000</v>
      </c>
      <c r="L56" s="115"/>
    </row>
    <row r="57" spans="2:13" ht="15" customHeight="1">
      <c r="B57" s="35" t="s">
        <v>39</v>
      </c>
      <c r="D57" s="68"/>
      <c r="F57" s="47">
        <v>1000</v>
      </c>
      <c r="G57" s="47">
        <v>0</v>
      </c>
      <c r="H57" s="47">
        <v>0</v>
      </c>
      <c r="L57" s="115"/>
    </row>
    <row r="58" spans="2:13" ht="15" customHeight="1">
      <c r="B58" s="35" t="s">
        <v>42</v>
      </c>
      <c r="D58" s="68"/>
      <c r="F58" s="60">
        <v>-1000</v>
      </c>
      <c r="G58" s="60">
        <v>-1000</v>
      </c>
      <c r="H58" s="60">
        <v>-1000</v>
      </c>
      <c r="J58" s="4"/>
      <c r="K58" s="4"/>
      <c r="L58" s="110"/>
    </row>
    <row r="59" spans="2:13" ht="15" customHeight="1">
      <c r="B59" s="35" t="s">
        <v>23</v>
      </c>
      <c r="D59" s="57"/>
      <c r="F59" s="38">
        <f>SUM('Historic Model'!K40:K46)</f>
        <v>-12084</v>
      </c>
      <c r="G59" s="38">
        <f>SUM('Historic Model'!L40:L46)</f>
        <v>-40619</v>
      </c>
      <c r="H59" s="38">
        <f>SUM('Historic Model'!M40:M46)</f>
        <v>-41486</v>
      </c>
      <c r="J59" s="103">
        <f>SUM('Historic Model'!K47:M47)</f>
        <v>-94189</v>
      </c>
      <c r="K59" s="102">
        <f>SUM(F59:H59)</f>
        <v>-94189</v>
      </c>
      <c r="L59" s="108" cm="1">
        <f t="array" ref="L59">IF(SUM(ISBLANK('Historic Model'!K47:M47)*1)&gt;0,0,IF(J59=K59,1,0))</f>
        <v>1</v>
      </c>
    </row>
    <row r="60" spans="2:13" ht="15" customHeight="1">
      <c r="B60" s="28"/>
      <c r="D60" s="68"/>
      <c r="F60" s="40"/>
      <c r="G60" s="40"/>
      <c r="H60" s="40"/>
      <c r="L60" s="115"/>
    </row>
    <row r="61" spans="2:13" ht="15" customHeight="1">
      <c r="B61" s="70"/>
      <c r="D61" s="33"/>
      <c r="F61" s="40"/>
      <c r="G61" s="64"/>
      <c r="H61" s="65"/>
      <c r="L61" s="115"/>
    </row>
    <row r="62" spans="2:13" ht="15" customHeight="1">
      <c r="B62" s="30" t="s">
        <v>47</v>
      </c>
      <c r="D62" s="33"/>
      <c r="F62" s="40"/>
      <c r="G62" s="64"/>
      <c r="H62" s="64"/>
      <c r="J62" s="4"/>
      <c r="K62" s="4"/>
      <c r="L62" s="110"/>
    </row>
    <row r="63" spans="2:13" ht="15" customHeight="1">
      <c r="B63" s="35" t="s">
        <v>49</v>
      </c>
      <c r="D63" s="57"/>
      <c r="F63" s="38">
        <f>'Historic Model'!R8</f>
        <v>0</v>
      </c>
      <c r="G63" s="80">
        <f>'Historic Model'!K59</f>
        <v>334</v>
      </c>
      <c r="H63" s="80">
        <f>'Historic Model'!L59</f>
        <v>4557</v>
      </c>
      <c r="J63" s="104">
        <f>SUM('Historic Model'!K57:M57)</f>
        <v>5211</v>
      </c>
      <c r="K63" s="105">
        <f>SUM(F63:H63)</f>
        <v>4891</v>
      </c>
      <c r="L63" s="112" cm="1">
        <f t="array" ref="L63">IF(SUM(ISBLANK('Historic Model'!K57:M57)*1)&gt;0,0,IF(J63=K63,1,0))</f>
        <v>0</v>
      </c>
    </row>
    <row r="64" spans="2:13" ht="15" customHeight="1">
      <c r="B64" s="35" t="s">
        <v>50</v>
      </c>
      <c r="D64" s="57"/>
      <c r="F64" s="38" t="e">
        <f>'Historic Model'!K17+'Historic Model'!#REF!+'Historic Model'!K47</f>
        <v>#REF!</v>
      </c>
      <c r="G64" s="38" t="e">
        <f>'Historic Model'!L17+'Historic Model'!#REF!+'Historic Model'!L47</f>
        <v>#REF!</v>
      </c>
      <c r="H64" s="38" t="e">
        <f>'Historic Model'!M17+'Historic Model'!#REF!+'Historic Model'!M47</f>
        <v>#REF!</v>
      </c>
      <c r="J64" s="95">
        <f>SUM('Historic Model'!K58:M58)</f>
        <v>460</v>
      </c>
      <c r="K64" s="93" t="e">
        <f>SUM(F64:H64)</f>
        <v>#REF!</v>
      </c>
      <c r="L64" s="113" t="e" cm="1">
        <f t="array" ref="L64">IF(SUM(ISBLANK('Historic Model'!K58:M58)*1)&gt;0,0,IF(J64=K64,1,0))</f>
        <v>#REF!</v>
      </c>
    </row>
    <row r="65" spans="2:13" ht="15" customHeight="1" thickBot="1">
      <c r="B65" s="44" t="s">
        <v>51</v>
      </c>
      <c r="D65" s="57"/>
      <c r="F65" s="58">
        <f>SUM('Historic Model'!K57:K58)</f>
        <v>334</v>
      </c>
      <c r="G65" s="58">
        <f>SUM('Historic Model'!L57:L58)</f>
        <v>4557</v>
      </c>
      <c r="H65" s="58">
        <f>SUM('Historic Model'!M57:M58)</f>
        <v>780</v>
      </c>
      <c r="J65" s="96">
        <f>SUM('Historic Model'!K59:M59)</f>
        <v>5671</v>
      </c>
      <c r="K65" s="94">
        <f t="shared" ref="K65" si="2">SUM(F65:H65)</f>
        <v>5671</v>
      </c>
      <c r="L65" s="114" cm="1">
        <f t="array" ref="L65">IF(SUM(ISBLANK('Historic Model'!K59:M59)*1)&gt;0,0,IF(J65=K65,1,0))</f>
        <v>1</v>
      </c>
    </row>
    <row r="66" spans="2:13" ht="15" customHeight="1">
      <c r="B66" s="1"/>
      <c r="D66" s="1"/>
      <c r="F66" s="1"/>
      <c r="G66" s="1"/>
      <c r="H66" s="1"/>
    </row>
    <row r="67" spans="2:13" ht="15" customHeight="1">
      <c r="B67" s="91"/>
      <c r="C67" s="88"/>
      <c r="D67" s="89"/>
      <c r="E67" s="89"/>
      <c r="F67" s="89"/>
      <c r="G67" s="89"/>
      <c r="H67" s="91"/>
      <c r="I67" s="61"/>
      <c r="J67" s="91"/>
      <c r="K67" s="91"/>
      <c r="L67" s="91"/>
    </row>
    <row r="68" spans="2:13" ht="15" customHeight="1">
      <c r="D68" s="8"/>
      <c r="E68" s="8"/>
      <c r="F68" s="8"/>
      <c r="G68" s="8"/>
      <c r="J68" s="4"/>
      <c r="K68" s="4"/>
      <c r="L68" s="4"/>
    </row>
    <row r="69" spans="2:13" ht="15" customHeight="1">
      <c r="B69" s="9" t="s">
        <v>3</v>
      </c>
      <c r="C69" s="12"/>
      <c r="D69" s="13"/>
      <c r="E69" s="13"/>
      <c r="F69" s="13"/>
      <c r="G69" s="13"/>
      <c r="H69" s="13"/>
      <c r="I69" s="20"/>
      <c r="J69" s="13"/>
      <c r="K69" s="13"/>
      <c r="L69" s="13"/>
    </row>
    <row r="70" spans="2:13" ht="15" customHeight="1">
      <c r="B70" s="18"/>
      <c r="C70" s="19"/>
      <c r="D70" s="20"/>
      <c r="E70" s="21"/>
      <c r="F70" s="20"/>
      <c r="G70" s="20"/>
      <c r="H70" s="20"/>
      <c r="I70" s="14"/>
    </row>
    <row r="71" spans="2:13" ht="15" customHeight="1" thickBot="1">
      <c r="B71" s="22" t="s">
        <v>4</v>
      </c>
      <c r="C71" s="24"/>
      <c r="D71" s="24"/>
      <c r="E71" s="25">
        <f>F71-1</f>
        <v>2022</v>
      </c>
      <c r="F71" s="23">
        <f>F$5</f>
        <v>2023</v>
      </c>
      <c r="G71" s="23">
        <f>G$5</f>
        <v>2024</v>
      </c>
      <c r="H71" s="23">
        <f>H$5</f>
        <v>2025</v>
      </c>
      <c r="I71" s="14"/>
      <c r="J71" s="97" t="s">
        <v>53</v>
      </c>
      <c r="K71" s="98" t="s">
        <v>54</v>
      </c>
      <c r="L71" s="99" t="s">
        <v>55</v>
      </c>
    </row>
    <row r="72" spans="2:13" ht="15" customHeight="1">
      <c r="B72" s="22"/>
      <c r="C72" s="24"/>
      <c r="D72" s="24"/>
      <c r="E72" s="27"/>
      <c r="F72" s="27"/>
      <c r="G72" s="27"/>
      <c r="H72" s="27"/>
      <c r="I72" s="14"/>
    </row>
    <row r="73" spans="2:13" ht="15" customHeight="1">
      <c r="B73" s="30" t="s">
        <v>6</v>
      </c>
      <c r="C73" s="33"/>
      <c r="D73" s="32"/>
      <c r="E73" s="28"/>
      <c r="F73" s="32"/>
      <c r="G73" s="34"/>
      <c r="H73" s="34"/>
    </row>
    <row r="74" spans="2:13" ht="15" customHeight="1">
      <c r="B74" s="35" t="s">
        <v>9</v>
      </c>
      <c r="C74" s="39"/>
      <c r="D74" s="40"/>
      <c r="E74" s="41">
        <v>5000</v>
      </c>
      <c r="F74" s="38">
        <f>'Historic Model'!K59</f>
        <v>334</v>
      </c>
      <c r="G74" s="38">
        <f>'Historic Model'!L59</f>
        <v>4557</v>
      </c>
      <c r="H74" s="38">
        <f>'Historic Model'!M59</f>
        <v>780</v>
      </c>
      <c r="J74" s="104">
        <f>SUM('Historic Model'!S8:U8)</f>
        <v>5671</v>
      </c>
      <c r="K74" s="105">
        <f>SUM(F74:H74)</f>
        <v>5671</v>
      </c>
      <c r="L74" s="112" cm="1">
        <f t="array" ref="L74">IF(SUM(ISBLANK('Historic Model'!S8:U8)*1)&gt;0,0,IF(J74=K74,1,0))</f>
        <v>1</v>
      </c>
    </row>
    <row r="75" spans="2:13" ht="15" customHeight="1">
      <c r="B75" s="35" t="s">
        <v>12</v>
      </c>
      <c r="C75" s="39"/>
      <c r="D75" s="43"/>
      <c r="E75" s="41">
        <v>6000</v>
      </c>
      <c r="F75" s="38">
        <f>'Historic Model'!R26-'Historic Model'!K7</f>
        <v>-101591</v>
      </c>
      <c r="G75" s="38">
        <f>'Historic Model'!S26-'Historic Model'!L7</f>
        <v>-148921</v>
      </c>
      <c r="H75" s="38">
        <f>'Historic Model'!T26-'Historic Model'!M7</f>
        <v>-170301</v>
      </c>
      <c r="I75" s="1"/>
      <c r="J75" s="95">
        <f>SUM('Historic Model'!S26:U26)</f>
        <v>66959</v>
      </c>
      <c r="K75" s="93">
        <f t="shared" ref="K75:K76" si="3">SUM(F75:H75)</f>
        <v>-420813</v>
      </c>
      <c r="L75" s="113" cm="1">
        <f t="array" ref="L75">IF(SUM(ISBLANK('Historic Model'!S26:U26)*1)&gt;0,0,IF(J75=K75,1,0))</f>
        <v>0</v>
      </c>
    </row>
    <row r="76" spans="2:13" ht="15" customHeight="1">
      <c r="B76" s="35" t="s">
        <v>15</v>
      </c>
      <c r="C76" s="39"/>
      <c r="D76" s="43"/>
      <c r="E76" s="47">
        <v>2000</v>
      </c>
      <c r="F76" s="38" t="e">
        <f>'Historic Model'!#REF!-'Historic Model'!K9</f>
        <v>#REF!</v>
      </c>
      <c r="G76" s="38" t="e">
        <f>'Historic Model'!#REF!-'Historic Model'!L9</f>
        <v>#REF!</v>
      </c>
      <c r="H76" s="38" t="e">
        <f>'Historic Model'!#REF!-'Historic Model'!M9</f>
        <v>#REF!</v>
      </c>
      <c r="I76" s="1"/>
      <c r="J76" s="95" t="e">
        <f>SUM('Historic Model'!#REF!)</f>
        <v>#REF!</v>
      </c>
      <c r="K76" s="93" t="e">
        <f t="shared" si="3"/>
        <v>#REF!</v>
      </c>
      <c r="L76" s="113" t="e" cm="1">
        <f t="array" ref="L76">IF(SUM(ISBLANK('Historic Model'!#REF!)*1)&gt;0,0,IF(J76=K76,1,0))</f>
        <v>#REF!</v>
      </c>
    </row>
    <row r="77" spans="2:13" ht="15" customHeight="1">
      <c r="B77" s="35" t="s">
        <v>17</v>
      </c>
      <c r="C77" s="52"/>
      <c r="D77" s="53"/>
      <c r="E77" s="47">
        <v>65000</v>
      </c>
      <c r="F77" s="38" t="e">
        <f>'Historic Model'!R27-'Historic Model'!K35-'Historic Model'!#REF!</f>
        <v>#REF!</v>
      </c>
      <c r="G77" s="38" t="e">
        <f>'Historic Model'!S27-'Historic Model'!L35-'Historic Model'!#REF!</f>
        <v>#REF!</v>
      </c>
      <c r="H77" s="38" t="e">
        <f>'Historic Model'!T27-'Historic Model'!M35-'Historic Model'!#REF!</f>
        <v>#REF!</v>
      </c>
      <c r="I77" s="1"/>
      <c r="J77" s="95">
        <f>SUM('Historic Model'!S27:U27)</f>
        <v>2664692</v>
      </c>
      <c r="K77" s="93" t="e">
        <f>SUM(F77:H77)</f>
        <v>#REF!</v>
      </c>
      <c r="L77" s="113" t="e" cm="1">
        <f t="array" ref="L77">IF(SUM(ISBLANK('Historic Model'!S27:U27)*1)&gt;0,0,IF(J77=K77,1,0))</f>
        <v>#REF!</v>
      </c>
    </row>
    <row r="78" spans="2:13" ht="15" customHeight="1" thickBot="1">
      <c r="B78" s="44" t="s">
        <v>19</v>
      </c>
      <c r="C78" s="56"/>
      <c r="D78" s="57"/>
      <c r="E78" s="58">
        <f>SUM('Historic Model'!R8:R27)</f>
        <v>111264</v>
      </c>
      <c r="F78" s="58">
        <f>SUM('Historic Model'!S8:S27)</f>
        <v>1663574</v>
      </c>
      <c r="G78" s="58">
        <f>SUM('Historic Model'!T8:T27)</f>
        <v>2205696</v>
      </c>
      <c r="H78" s="58">
        <f>SUM('Historic Model'!U8:U27)</f>
        <v>2512404</v>
      </c>
      <c r="I78" s="1"/>
      <c r="J78" s="96">
        <f>SUM('Historic Model'!R28:U28)</f>
        <v>3302101</v>
      </c>
      <c r="K78" s="94">
        <f>SUM(E78:H78)</f>
        <v>6492938</v>
      </c>
      <c r="L78" s="114" cm="1">
        <f t="array" ref="L78">IF(SUM(ISBLANK('Historic Model'!R28:U28)*1)&gt;0,0,IF(J78=K78,1,0))</f>
        <v>0</v>
      </c>
      <c r="M78" s="1"/>
    </row>
    <row r="79" spans="2:13" ht="15" customHeight="1">
      <c r="B79" s="1"/>
      <c r="C79" s="1"/>
      <c r="D79" s="1"/>
      <c r="E79" s="1"/>
      <c r="F79" s="1"/>
      <c r="G79" s="1"/>
      <c r="H79" s="1"/>
      <c r="I79" s="1"/>
      <c r="L79" s="116"/>
    </row>
    <row r="80" spans="2:13" ht="15" customHeight="1">
      <c r="B80" s="62"/>
      <c r="C80" s="56"/>
      <c r="D80" s="63"/>
      <c r="E80" s="64"/>
      <c r="F80" s="64"/>
      <c r="G80" s="64"/>
      <c r="H80" s="64"/>
      <c r="I80" s="1"/>
      <c r="L80" s="116"/>
    </row>
    <row r="81" spans="2:13" ht="15" customHeight="1">
      <c r="B81" s="1"/>
      <c r="C81" s="1"/>
      <c r="D81" s="1"/>
      <c r="E81" s="1"/>
      <c r="F81" s="1"/>
      <c r="G81" s="1"/>
      <c r="H81" s="1"/>
      <c r="I81" s="1"/>
      <c r="L81" s="116"/>
    </row>
    <row r="82" spans="2:13" ht="15" customHeight="1">
      <c r="B82" s="30" t="s">
        <v>25</v>
      </c>
      <c r="C82" s="39"/>
      <c r="D82" s="66"/>
      <c r="E82" s="64"/>
      <c r="F82" s="64"/>
      <c r="G82" s="64"/>
      <c r="H82" s="64"/>
      <c r="I82" s="1"/>
      <c r="J82" s="1"/>
      <c r="K82" s="1"/>
      <c r="L82" s="110"/>
    </row>
    <row r="83" spans="2:13" ht="15" customHeight="1">
      <c r="B83" s="35" t="s">
        <v>27</v>
      </c>
      <c r="C83" s="39"/>
      <c r="D83" s="67"/>
      <c r="E83" s="47">
        <v>3000</v>
      </c>
      <c r="F83" s="38">
        <f>'Historic Model'!R35+'Historic Model'!K10</f>
        <v>1866</v>
      </c>
      <c r="G83" s="38">
        <f>'Historic Model'!S35+'Historic Model'!L10</f>
        <v>51293</v>
      </c>
      <c r="H83" s="38">
        <f>'Historic Model'!T35+'Historic Model'!M10</f>
        <v>60789</v>
      </c>
      <c r="I83" s="1"/>
      <c r="J83" s="104">
        <f>SUM('Historic Model'!S35:U35)</f>
        <v>173829</v>
      </c>
      <c r="K83" s="105">
        <f>SUM(F83:H83)</f>
        <v>113948</v>
      </c>
      <c r="L83" s="112">
        <f t="array" ref="L83">IF(SUM(ISBLANK('Historic Model'!S35:U35)*1)&gt;0,0,IF(J83=K83,1,0))</f>
        <v>0</v>
      </c>
    </row>
    <row r="84" spans="2:13" ht="15" customHeight="1">
      <c r="B84" s="35" t="s">
        <v>29</v>
      </c>
      <c r="C84" s="39"/>
      <c r="D84" s="53"/>
      <c r="E84" s="47">
        <v>5000</v>
      </c>
      <c r="F84" s="38" t="e">
        <f>'Historic Model'!R36+'Historic Model'!K40</f>
        <v>#VALUE!</v>
      </c>
      <c r="G84" s="38" t="e">
        <f>'Historic Model'!S36+'Historic Model'!L40</f>
        <v>#VALUE!</v>
      </c>
      <c r="H84" s="38" t="e">
        <f>'Historic Model'!T36+'Historic Model'!M40</f>
        <v>#VALUE!</v>
      </c>
      <c r="I84" s="1"/>
      <c r="J84" s="95">
        <f>SUM('Historic Model'!S36:U36)</f>
        <v>36527</v>
      </c>
      <c r="K84" s="93" t="e">
        <f t="shared" ref="K84:K85" si="4">SUM(F84:H84)</f>
        <v>#VALUE!</v>
      </c>
      <c r="L84" s="113" t="e" cm="1">
        <f t="array" ref="L84">IF(SUM(ISBLANK('Historic Model'!S36:U36)*1)&gt;0,0,IF(J84=K84,1,0))</f>
        <v>#VALUE!</v>
      </c>
    </row>
    <row r="85" spans="2:13" ht="15" customHeight="1">
      <c r="B85" s="35" t="s">
        <v>31</v>
      </c>
      <c r="C85" s="69"/>
      <c r="D85" s="53"/>
      <c r="E85" s="47">
        <v>20000</v>
      </c>
      <c r="F85" s="38">
        <f>'Historic Model'!R37+'Historic Model'!K41</f>
        <v>19443</v>
      </c>
      <c r="G85" s="38" t="e">
        <f>'Historic Model'!S37+'Historic Model'!L41</f>
        <v>#VALUE!</v>
      </c>
      <c r="H85" s="38" t="e">
        <f>'Historic Model'!T37+'Historic Model'!M41</f>
        <v>#VALUE!</v>
      </c>
      <c r="I85" s="1"/>
      <c r="J85" s="95">
        <f>SUM('Historic Model'!S37:U37)</f>
        <v>36333</v>
      </c>
      <c r="K85" s="93" t="e">
        <f t="shared" si="4"/>
        <v>#VALUE!</v>
      </c>
      <c r="L85" s="113" t="e" cm="1">
        <f t="array" ref="L85">IF(SUM(ISBLANK('Historic Model'!S37:U37)*1)&gt;0,0,IF(J85=K85,1,0))</f>
        <v>#VALUE!</v>
      </c>
    </row>
    <row r="86" spans="2:13" ht="15" customHeight="1">
      <c r="B86" s="35" t="s">
        <v>32</v>
      </c>
      <c r="C86" s="69"/>
      <c r="D86" s="53"/>
      <c r="E86" s="47">
        <v>1000</v>
      </c>
      <c r="F86" s="71" t="e">
        <f>'Historic Model'!R38+'Historic Model'!#REF!</f>
        <v>#REF!</v>
      </c>
      <c r="G86" s="71" t="e">
        <f>'Historic Model'!S38+'Historic Model'!#REF!</f>
        <v>#REF!</v>
      </c>
      <c r="H86" s="71" t="e">
        <f>'Historic Model'!T38+'Historic Model'!#REF!</f>
        <v>#REF!</v>
      </c>
      <c r="I86" s="1"/>
      <c r="J86" s="95">
        <f>SUM('Historic Model'!S38:U38)</f>
        <v>697487</v>
      </c>
      <c r="K86" s="93" t="e">
        <f>SUM(F86:H86)</f>
        <v>#REF!</v>
      </c>
      <c r="L86" s="113" t="e" cm="1">
        <f t="array" ref="L86">IF(SUM(ISBLANK('Historic Model'!S38:U38)*1)&gt;0,0,IF(J86=K86,1,0))</f>
        <v>#REF!</v>
      </c>
    </row>
    <row r="87" spans="2:13" ht="15" customHeight="1">
      <c r="B87" s="44" t="s">
        <v>33</v>
      </c>
      <c r="C87" s="73"/>
      <c r="D87" s="57"/>
      <c r="E87" s="74">
        <f>SUM('Historic Model'!R35:R38)</f>
        <v>11104</v>
      </c>
      <c r="F87" s="74">
        <f>SUM('Historic Model'!S35:S38)</f>
        <v>271958</v>
      </c>
      <c r="G87" s="74">
        <f>SUM('Historic Model'!T35:T38)</f>
        <v>312241</v>
      </c>
      <c r="H87" s="74">
        <f>SUM('Historic Model'!U35:U38)</f>
        <v>359977</v>
      </c>
      <c r="I87" s="1"/>
      <c r="J87" s="96">
        <f>SUM('Historic Model'!R48:U48)</f>
        <v>817834</v>
      </c>
      <c r="K87" s="94">
        <f>SUM(E87:H87)</f>
        <v>955280</v>
      </c>
      <c r="L87" s="114" cm="1">
        <f t="array" ref="L87">IF(SUM(ISBLANK('Historic Model'!R48:U48)*1)&gt;0,0,IF(J87=K87,1,0))</f>
        <v>0</v>
      </c>
    </row>
    <row r="88" spans="2:13" ht="15" customHeight="1">
      <c r="B88" s="70"/>
      <c r="C88" s="73"/>
      <c r="D88" s="63"/>
      <c r="E88" s="75"/>
      <c r="F88" s="75"/>
      <c r="G88" s="75"/>
      <c r="H88" s="75"/>
      <c r="I88" s="1"/>
      <c r="L88" s="116"/>
    </row>
    <row r="89" spans="2:13" ht="15" customHeight="1">
      <c r="B89" s="28"/>
      <c r="C89" s="28"/>
      <c r="D89" s="76"/>
      <c r="E89" s="28"/>
      <c r="F89" s="28"/>
      <c r="G89" s="28"/>
      <c r="H89" s="28"/>
      <c r="I89" s="1"/>
      <c r="L89" s="116"/>
    </row>
    <row r="90" spans="2:13" ht="15" customHeight="1">
      <c r="B90" s="1"/>
      <c r="C90" s="1"/>
      <c r="D90" s="1"/>
      <c r="E90" s="1"/>
      <c r="F90" s="1"/>
      <c r="G90" s="1"/>
      <c r="H90" s="1"/>
      <c r="I90" s="1"/>
      <c r="L90" s="116"/>
    </row>
    <row r="91" spans="2:13" ht="15" customHeight="1">
      <c r="B91" s="30" t="s">
        <v>40</v>
      </c>
      <c r="C91" s="73"/>
      <c r="D91" s="63"/>
      <c r="E91" s="75"/>
      <c r="F91" s="75"/>
      <c r="G91" s="75"/>
      <c r="H91" s="75"/>
      <c r="I91" s="1"/>
      <c r="J91" s="1"/>
      <c r="K91" s="1"/>
      <c r="L91" s="110"/>
    </row>
    <row r="92" spans="2:13" ht="15" customHeight="1">
      <c r="B92" s="35" t="s">
        <v>43</v>
      </c>
      <c r="C92" s="33"/>
      <c r="D92" s="53"/>
      <c r="E92" s="47">
        <v>44000</v>
      </c>
      <c r="F92" s="38" t="e">
        <f>'Historic Model'!R51+'Historic Model'!K42</f>
        <v>#VALUE!</v>
      </c>
      <c r="G92" s="38">
        <f>'Historic Model'!S51+'Historic Model'!L42</f>
        <v>-10317</v>
      </c>
      <c r="H92" s="38">
        <f>'Historic Model'!T51+'Historic Model'!M42</f>
        <v>1241</v>
      </c>
      <c r="I92" s="1"/>
      <c r="J92" s="104">
        <f>SUM('Historic Model'!S51:U51)</f>
        <v>4654</v>
      </c>
      <c r="K92" s="105" t="e">
        <f>SUM(F92:H92)</f>
        <v>#VALUE!</v>
      </c>
      <c r="L92" s="112" t="e">
        <f t="array" ref="L92">IF(SUM(ISBLANK('Historic Model'!S51:U51)*1)&gt;0,0,IF(J92=K92,1,0))</f>
        <v>#VALUE!</v>
      </c>
    </row>
    <row r="93" spans="2:13" ht="15" customHeight="1">
      <c r="B93" s="35" t="s">
        <v>44</v>
      </c>
      <c r="C93" s="33"/>
      <c r="D93" s="53"/>
      <c r="E93" s="47">
        <v>5000</v>
      </c>
      <c r="F93" s="71" t="e">
        <f>'Historic Model'!R52+'Historic Model'!#REF!+'Historic Model'!#REF!</f>
        <v>#REF!</v>
      </c>
      <c r="G93" s="71" t="e">
        <f>'Historic Model'!S52+'Historic Model'!#REF!+'Historic Model'!#REF!</f>
        <v>#REF!</v>
      </c>
      <c r="H93" s="71" t="e">
        <f>'Historic Model'!T52+'Historic Model'!#REF!+'Historic Model'!#REF!</f>
        <v>#REF!</v>
      </c>
      <c r="I93" s="1"/>
      <c r="J93" s="95">
        <f>SUM('Historic Model'!S52:U52)</f>
        <v>2379453</v>
      </c>
      <c r="K93" s="93" t="e">
        <f t="shared" ref="K93" si="5">SUM(F93:H93)</f>
        <v>#REF!</v>
      </c>
      <c r="L93" s="113" t="e" cm="1">
        <f t="array" ref="L93">IF(SUM(ISBLANK('Historic Model'!S52:U52)*1)&gt;0,0,IF(J93=K93,1,0))</f>
        <v>#REF!</v>
      </c>
    </row>
    <row r="94" spans="2:13" ht="15" customHeight="1">
      <c r="B94" s="44" t="s">
        <v>46</v>
      </c>
      <c r="C94" s="73"/>
      <c r="D94" s="57"/>
      <c r="E94" s="74">
        <f>SUM('Historic Model'!R51:R52)</f>
        <v>0</v>
      </c>
      <c r="F94" s="74">
        <f>SUM('Historic Model'!S51:S52)</f>
        <v>603820</v>
      </c>
      <c r="G94" s="74">
        <f>SUM('Historic Model'!T51:T52)</f>
        <v>839820</v>
      </c>
      <c r="H94" s="74">
        <f>SUM('Historic Model'!U51:U52)</f>
        <v>940467</v>
      </c>
      <c r="I94" s="1"/>
      <c r="J94" s="96">
        <f>SUM('Historic Model'!R53:U53)</f>
        <v>2384107</v>
      </c>
      <c r="K94" s="94">
        <f>SUM(E94:H94)</f>
        <v>2384107</v>
      </c>
      <c r="L94" s="114" cm="1">
        <f t="array" ref="L94">IF(SUM(ISBLANK('Historic Model'!R53:U53)*1)&gt;0,0,IF(J94=K94,1,0))</f>
        <v>1</v>
      </c>
      <c r="M94" s="1"/>
    </row>
    <row r="95" spans="2:13" ht="15" customHeight="1">
      <c r="B95" s="70"/>
      <c r="C95" s="73"/>
      <c r="D95" s="63"/>
      <c r="E95" s="75"/>
      <c r="F95" s="75"/>
      <c r="G95" s="75"/>
      <c r="H95" s="75"/>
      <c r="I95" s="1"/>
      <c r="L95" s="116"/>
    </row>
    <row r="96" spans="2:13" ht="15" customHeight="1" thickBot="1">
      <c r="B96" s="44" t="s">
        <v>48</v>
      </c>
      <c r="C96" s="73"/>
      <c r="D96" s="57"/>
      <c r="E96" s="58">
        <f>'Historic Model'!R53+'Historic Model'!R48</f>
        <v>11104</v>
      </c>
      <c r="F96" s="58">
        <f>'Historic Model'!S53+'Historic Model'!S48</f>
        <v>831787</v>
      </c>
      <c r="G96" s="58">
        <f>'Historic Model'!T53+'Historic Model'!T48</f>
        <v>1102848</v>
      </c>
      <c r="H96" s="58">
        <f>'Historic Model'!U53+'Historic Model'!U48</f>
        <v>1256202</v>
      </c>
      <c r="I96" s="1"/>
      <c r="J96" s="103">
        <f>SUM('Historic Model'!R55:U55)</f>
        <v>3201941</v>
      </c>
      <c r="K96" s="102">
        <f>SUM(E96:H96)</f>
        <v>3201941</v>
      </c>
      <c r="L96" s="108" cm="1">
        <f t="array" ref="L96">IF(SUM(ISBLANK('Historic Model'!R55:U55)*1)&gt;0,0,IF(J96=K96,1,0))</f>
        <v>1</v>
      </c>
    </row>
    <row r="97" spans="2:12" ht="15" customHeight="1">
      <c r="B97" s="81"/>
      <c r="C97" s="82"/>
      <c r="D97" s="81"/>
      <c r="E97" s="83"/>
      <c r="F97" s="83"/>
      <c r="G97" s="83"/>
      <c r="H97" s="83"/>
      <c r="I97" s="1"/>
      <c r="L97" s="116"/>
    </row>
    <row r="98" spans="2:12" ht="15" customHeight="1">
      <c r="B98" s="1"/>
      <c r="C98" s="1"/>
      <c r="D98" s="1"/>
      <c r="E98" s="1"/>
      <c r="F98" s="1"/>
      <c r="G98" s="1"/>
      <c r="H98" s="1"/>
      <c r="I98" s="1"/>
      <c r="L98" s="116"/>
    </row>
    <row r="99" spans="2:12" ht="15" customHeight="1">
      <c r="B99" s="85" t="s">
        <v>52</v>
      </c>
      <c r="D99" s="86"/>
      <c r="E99" s="87">
        <f>'Historic Model'!R28-'Historic Model'!R55</f>
        <v>100160</v>
      </c>
      <c r="F99" s="87">
        <f>'Historic Model'!S28-'Historic Model'!S55</f>
        <v>0</v>
      </c>
      <c r="G99" s="87">
        <f>'Historic Model'!T28-'Historic Model'!T55</f>
        <v>0</v>
      </c>
      <c r="H99" s="87">
        <f>'Historic Model'!U28-'Historic Model'!U55</f>
        <v>0</v>
      </c>
      <c r="J99" s="103">
        <f>SUM('Historic Model'!R58:U58)</f>
        <v>100160</v>
      </c>
      <c r="K99" s="102">
        <f>SUM(E99:H99)</f>
        <v>100160</v>
      </c>
      <c r="L99" s="108" cm="1">
        <f t="array" ref="L99">IF(SUM(ISBLANK('Historic Model'!R58:U58)*1)&gt;0,0,IF(J99=K99,1,0))</f>
        <v>1</v>
      </c>
    </row>
    <row r="100" spans="2:12" ht="15" customHeight="1">
      <c r="B100" s="1"/>
      <c r="C100" s="1"/>
      <c r="D100" s="1"/>
      <c r="E100" s="1"/>
      <c r="F100" s="1"/>
      <c r="G100" s="1"/>
      <c r="H100" s="1"/>
    </row>
    <row r="101" spans="2:12" ht="15" customHeight="1">
      <c r="B101" s="88"/>
      <c r="C101" s="88"/>
      <c r="D101" s="88"/>
      <c r="E101" s="88"/>
      <c r="F101" s="88"/>
      <c r="G101" s="88"/>
      <c r="H101" s="88" t="s">
        <v>0</v>
      </c>
      <c r="I101" s="4" t="s">
        <v>0</v>
      </c>
      <c r="J101" s="88" t="s">
        <v>0</v>
      </c>
      <c r="K101" s="88" t="s">
        <v>0</v>
      </c>
      <c r="L101" s="88" t="s">
        <v>0</v>
      </c>
    </row>
    <row r="102" spans="2:12" ht="15" customHeight="1">
      <c r="J102" s="4"/>
      <c r="K102" s="4"/>
      <c r="L102" s="4"/>
    </row>
  </sheetData>
  <conditionalFormatting sqref="E99:H99">
    <cfRule type="expression" dxfId="0" priority="1">
      <formula>E99&lt;&gt;0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fitToWidth="0" fitToHeight="0" orientation="portrait" r:id="rId1"/>
  <headerFooter>
    <oddFooter>&amp;L&amp;"Open Sans,Bold"&amp;10&amp;K002060Compact 3-Statement Model&amp;C&amp;"Open Sans,Bold"&amp;10&amp;K002060Page &amp;P of &amp;N&amp;R&amp;"Open Sans,Bold"&amp;K002060&amp;G</oddFooter>
  </headerFooter>
  <rowBreaks count="1" manualBreakCount="1">
    <brk id="2" max="15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Historic Model</vt:lpstr>
      <vt:lpstr>Ratios</vt:lpstr>
      <vt:lpstr>Assumptions and Drivers</vt:lpstr>
      <vt:lpstr>Forecasting</vt:lpstr>
      <vt:lpstr>Charts and Graphs</vt:lpstr>
      <vt:lpstr>'Historic Model'!Print_Area</vt:lpstr>
      <vt:lpstr>'Model-R'!Print_Area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Rajat</cp:lastModifiedBy>
  <cp:revision/>
  <dcterms:created xsi:type="dcterms:W3CDTF">1899-12-30T05:00:00Z</dcterms:created>
  <dcterms:modified xsi:type="dcterms:W3CDTF">2026-01-10T15:10:45Z</dcterms:modified>
  <cp:category/>
  <cp:contentStatus/>
  <dc:language/>
  <cp:version/>
</cp:coreProperties>
</file>